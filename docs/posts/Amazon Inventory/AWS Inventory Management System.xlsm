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virginiatech-my.sharepoint.com/personal/liamw_vt_edu/Documents/Microsoft Teams Chat Files/"/>
    </mc:Choice>
  </mc:AlternateContent>
  <xr:revisionPtr revIDLastSave="998" documentId="8_{9D15A5C5-8425-4557-B938-A5CCFC0D9035}" xr6:coauthVersionLast="47" xr6:coauthVersionMax="47" xr10:uidLastSave="{13321589-20FA-48A6-86C1-8841F6BA4070}"/>
  <bookViews>
    <workbookView xWindow="-38520" yWindow="-2430" windowWidth="38640" windowHeight="21120" xr2:uid="{00000000-000D-0000-FFFF-FFFF00000000}"/>
  </bookViews>
  <sheets>
    <sheet name="Welcome" sheetId="7" r:id="rId1"/>
    <sheet name="Hidden" sheetId="6" state="hidden" r:id="rId2"/>
    <sheet name="Investment" sheetId="5" state="hidden" r:id="rId3"/>
    <sheet name="Inventory" sheetId="3" state="hidden" r:id="rId4"/>
    <sheet name="Electronics" sheetId="13" state="hidden" r:id="rId5"/>
    <sheet name="Clothing" sheetId="19" state="hidden" r:id="rId6"/>
    <sheet name="Medical" sheetId="20" state="hidden" r:id="rId7"/>
    <sheet name="Furniture" sheetId="21" state="hidden" r:id="rId8"/>
    <sheet name="Media" sheetId="22" state="hidden" r:id="rId9"/>
  </sheets>
  <externalReferences>
    <externalReference r:id="rId10"/>
  </externalReferences>
  <definedNames>
    <definedName name="Actual_Sales" localSheetId="5">Clothing!$F$3:$F$7</definedName>
    <definedName name="Actual_Sales" localSheetId="4">Electronics!$F$3:$F$7</definedName>
    <definedName name="Actual_Sales" localSheetId="7">Furniture!$F$3:$F$7</definedName>
    <definedName name="Actual_Sales" localSheetId="8">Media!$F$3:$F$7</definedName>
    <definedName name="Actual_Sales" localSheetId="6">Medical!$F$3:$F$7</definedName>
    <definedName name="Actual_Sales">Inventory!#REF!</definedName>
    <definedName name="Alexandria">#REF!</definedName>
    <definedName name="Allocation">Investment!$C$6:$C$10</definedName>
    <definedName name="Available_Funds" localSheetId="5">Clothing!$I$13</definedName>
    <definedName name="Available_Funds" localSheetId="4">Electronics!$I$13</definedName>
    <definedName name="Available_Funds" localSheetId="7">Furniture!$I$13</definedName>
    <definedName name="Available_Funds" localSheetId="8">Media!$I$13</definedName>
    <definedName name="Available_Funds" localSheetId="6">Medical!$I$13</definedName>
    <definedName name="Available_Funds">Inventory!$Q$4</definedName>
    <definedName name="Available_Supply">#REF!</definedName>
    <definedName name="AvailFund">Investment!$D$15</definedName>
    <definedName name="Bburg">#REF!</definedName>
    <definedName name="Cburg">#REF!</definedName>
    <definedName name="cFish">#REF!</definedName>
    <definedName name="Cities">#REF!</definedName>
    <definedName name="cSteak">#REF!</definedName>
    <definedName name="cTable">#REF!</definedName>
    <definedName name="Current_Inventory" localSheetId="5">Clothing!$B$3:$B$7</definedName>
    <definedName name="Current_Inventory" localSheetId="4">Electronics!$B$3:$B$7</definedName>
    <definedName name="Current_Inventory" localSheetId="7">Furniture!$B$3:$B$7</definedName>
    <definedName name="Current_Inventory" localSheetId="8">Media!$B$3:$B$7</definedName>
    <definedName name="Current_Inventory" localSheetId="6">Medical!$B$3:$B$7</definedName>
    <definedName name="Current_Inventory">Inventory!#REF!</definedName>
    <definedName name="DayOne">#REF!</definedName>
    <definedName name="DayTwo">#REF!</definedName>
    <definedName name="Delivered">#REF!</definedName>
    <definedName name="Demand">#REF!</definedName>
    <definedName name="Driver_Cost_Stop">#REF!</definedName>
    <definedName name="Expected_Demand" localSheetId="5">Clothing!$C$3:$C$7</definedName>
    <definedName name="Expected_Demand" localSheetId="4">Electronics!$C$3:$C$7</definedName>
    <definedName name="Expected_Demand" localSheetId="7">Furniture!$C$3:$C$7</definedName>
    <definedName name="Expected_Demand" localSheetId="8">Media!$C$3:$C$7</definedName>
    <definedName name="Expected_Demand" localSheetId="6">Medical!$C$3:$C$7</definedName>
    <definedName name="Expected_Demand">Inventory!#REF!</definedName>
    <definedName name="Expected_Returns">Investment!$F$13</definedName>
    <definedName name="Expected_Risk">Investment!$F$15</definedName>
    <definedName name="From">#REF!</definedName>
    <definedName name="HistOut">#REF!</definedName>
    <definedName name="Holding_Cost" localSheetId="5">Clothing!$I$3:$I$7</definedName>
    <definedName name="Holding_Cost" localSheetId="4">Electronics!$I$3:$I$7</definedName>
    <definedName name="Holding_Cost" localSheetId="7">Furniture!$I$3:$I$7</definedName>
    <definedName name="Holding_Cost" localSheetId="8">Media!$I$3:$I$7</definedName>
    <definedName name="Holding_Cost" localSheetId="6">Medical!$I$3:$I$7</definedName>
    <definedName name="Holding_Cost">Inventory!#REF!</definedName>
    <definedName name="Investment">Investment!$D$6:$D$10</definedName>
    <definedName name="InvReport">[1]P9!#REF!</definedName>
    <definedName name="InvTable">[1]P9!#REF!</definedName>
    <definedName name="LogInInfo">Hidden!$A$1:$D$8</definedName>
    <definedName name="Lost_Sales" localSheetId="5">Clothing!$G$3:$G$7</definedName>
    <definedName name="Lost_Sales" localSheetId="4">Electronics!$G$3:$G$7</definedName>
    <definedName name="Lost_Sales" localSheetId="7">Furniture!$G$3:$G$7</definedName>
    <definedName name="Lost_Sales" localSheetId="8">Media!$G$3:$G$7</definedName>
    <definedName name="Lost_Sales" localSheetId="6">Medical!$G$3:$G$7</definedName>
    <definedName name="Lost_Sales">Inventory!#REF!</definedName>
    <definedName name="Lost_Sales_Cost" localSheetId="5">Clothing!$I$3:$I$7</definedName>
    <definedName name="Lost_Sales_Cost" localSheetId="4">Electronics!$I$3:$I$7</definedName>
    <definedName name="Lost_Sales_Cost" localSheetId="7">Furniture!$I$3:$I$7</definedName>
    <definedName name="Lost_Sales_Cost" localSheetId="8">Media!$I$3:$I$7</definedName>
    <definedName name="Lost_Sales_Cost" localSheetId="6">Medical!$I$3:$I$7</definedName>
    <definedName name="Lost_Sales_Cost">Inventory!#REF!</definedName>
    <definedName name="Max_Cost">#REF!</definedName>
    <definedName name="Max_Time">#REF!</definedName>
    <definedName name="MaxAlloc">Investment!$C$15</definedName>
    <definedName name="Mid_Points">#REF!</definedName>
    <definedName name="MinAlloc">Investment!$C$13</definedName>
    <definedName name="MinReport">#REF!</definedName>
    <definedName name="MinSelect">Investment!$B$15</definedName>
    <definedName name="nGuests">#REF!</definedName>
    <definedName name="Node_From_To">#REF!</definedName>
    <definedName name="Node_To">#REF!</definedName>
    <definedName name="Nodes">#REF!</definedName>
    <definedName name="nTables">#REF!</definedName>
    <definedName name="Number_Stops">#REF!</definedName>
    <definedName name="ObjConst">#REF!</definedName>
    <definedName name="ObjFunc">#REF!</definedName>
    <definedName name="Order_Cost" localSheetId="5">Clothing!$H$3:$H$7</definedName>
    <definedName name="Order_Cost" localSheetId="4">Electronics!$H$3:$H$7</definedName>
    <definedName name="Order_Cost" localSheetId="7">Furniture!$H$3:$H$7</definedName>
    <definedName name="Order_Cost" localSheetId="8">Media!$H$3:$H$7</definedName>
    <definedName name="Order_Cost" localSheetId="6">Medical!$H$3:$H$7</definedName>
    <definedName name="Order_Cost">Inventory!#REF!</definedName>
    <definedName name="Order_Quantity" localSheetId="5">Clothing!$D$3:$D$7</definedName>
    <definedName name="Order_Quantity" localSheetId="4">Electronics!$D$3:$D$7</definedName>
    <definedName name="Order_Quantity" localSheetId="7">Furniture!$D$3:$D$7</definedName>
    <definedName name="Order_Quantity" localSheetId="8">Media!$D$3:$D$7</definedName>
    <definedName name="Order_Quantity" localSheetId="6">Medical!$D$3:$D$7</definedName>
    <definedName name="Order_Quantity">Inventory!#REF!</definedName>
    <definedName name="Path_Cost">#REF!</definedName>
    <definedName name="Path_Time">#REF!</definedName>
    <definedName name="pFish">#REF!</definedName>
    <definedName name="Plane">#REF!</definedName>
    <definedName name="PriceInterval">#REF!</definedName>
    <definedName name="ProdReport">[1]P9!#REF!</definedName>
    <definedName name="ProdTable">[1]P9!#REF!</definedName>
    <definedName name="pSteak">#REF!</definedName>
    <definedName name="Remaining_Inventory" localSheetId="5">Clothing!$G$3:$G$7</definedName>
    <definedName name="Remaining_Inventory" localSheetId="4">Electronics!$G$3:$G$7</definedName>
    <definedName name="Remaining_Inventory" localSheetId="7">Furniture!$G$3:$G$7</definedName>
    <definedName name="Remaining_Inventory" localSheetId="8">Media!$G$3:$G$7</definedName>
    <definedName name="Remaining_Inventory" localSheetId="6">Medical!$G$3:$G$7</definedName>
    <definedName name="Remaining_Inventory">Inventory!#REF!</definedName>
    <definedName name="Return_Rate">Investment!$E$6:$E$10</definedName>
    <definedName name="Risk_Rate">Investment!$F$6:$F$10</definedName>
    <definedName name="Roanoke">#REF!</definedName>
    <definedName name="Route">#REF!</definedName>
    <definedName name="Route_Order__y">#REF!</definedName>
    <definedName name="Salem">#REF!</definedName>
    <definedName name="Sales_Price" localSheetId="5">Clothing!$J$3:$J$7</definedName>
    <definedName name="Sales_Price" localSheetId="4">Electronics!$J$3:$J$7</definedName>
    <definedName name="Sales_Price" localSheetId="7">Furniture!$J$3:$J$7</definedName>
    <definedName name="Sales_Price" localSheetId="8">Media!$J$3:$J$7</definedName>
    <definedName name="Sales_Price" localSheetId="6">Medical!$J$3:$J$7</definedName>
    <definedName name="Sales_Price">Inventory!#REF!</definedName>
    <definedName name="Selected">Investment!$B$6:$B$10</definedName>
    <definedName name="ShipCost">#REF!</definedName>
    <definedName name="ShipDV">#REF!</definedName>
    <definedName name="SimReport">#REF!</definedName>
    <definedName name="solver_adj" localSheetId="5" hidden="1">Clothing!$D$3:$D$5</definedName>
    <definedName name="solver_adj" localSheetId="4" hidden="1">Electronics!$D$3:$D$5</definedName>
    <definedName name="solver_adj" localSheetId="7" hidden="1">Furniture!$D$3:$D$5</definedName>
    <definedName name="solver_adj" localSheetId="3" hidden="1">Inventory!#REF!</definedName>
    <definedName name="solver_adj" localSheetId="2" hidden="1">Investment!$B$6:$B$10,Investment!$C$6:$C$10</definedName>
    <definedName name="solver_adj" localSheetId="8" hidden="1">Media!$D$3:$D$5</definedName>
    <definedName name="solver_adj" localSheetId="6" hidden="1">Medical!$D$3:$D$5</definedName>
    <definedName name="solver_cvg" localSheetId="5" hidden="1">0.0001</definedName>
    <definedName name="solver_cvg" localSheetId="4" hidden="1">0.0001</definedName>
    <definedName name="solver_cvg" localSheetId="7" hidden="1">0.0001</definedName>
    <definedName name="solver_cvg" localSheetId="3" hidden="1">0.0001</definedName>
    <definedName name="solver_cvg" localSheetId="2" hidden="1">0.0001</definedName>
    <definedName name="solver_cvg" localSheetId="8" hidden="1">0.0001</definedName>
    <definedName name="solver_cvg" localSheetId="6" hidden="1">0.0001</definedName>
    <definedName name="solver_drv" localSheetId="5" hidden="1">1</definedName>
    <definedName name="solver_drv" localSheetId="4" hidden="1">1</definedName>
    <definedName name="solver_drv" localSheetId="7" hidden="1">1</definedName>
    <definedName name="solver_drv" localSheetId="3" hidden="1">1</definedName>
    <definedName name="solver_drv" localSheetId="2" hidden="1">1</definedName>
    <definedName name="solver_drv" localSheetId="8" hidden="1">1</definedName>
    <definedName name="solver_drv" localSheetId="6" hidden="1">1</definedName>
    <definedName name="solver_eng" localSheetId="5" hidden="1">1</definedName>
    <definedName name="solver_eng" localSheetId="4" hidden="1">1</definedName>
    <definedName name="solver_eng" localSheetId="7" hidden="1">1</definedName>
    <definedName name="solver_eng" localSheetId="3" hidden="1">1</definedName>
    <definedName name="solver_eng" localSheetId="2" hidden="1">1</definedName>
    <definedName name="solver_eng" localSheetId="8" hidden="1">1</definedName>
    <definedName name="solver_eng" localSheetId="6" hidden="1">1</definedName>
    <definedName name="solver_est" localSheetId="5" hidden="1">1</definedName>
    <definedName name="solver_est" localSheetId="4" hidden="1">1</definedName>
    <definedName name="solver_est" localSheetId="7" hidden="1">1</definedName>
    <definedName name="solver_est" localSheetId="3" hidden="1">1</definedName>
    <definedName name="solver_est" localSheetId="2" hidden="1">1</definedName>
    <definedName name="solver_est" localSheetId="8" hidden="1">1</definedName>
    <definedName name="solver_est" localSheetId="6" hidden="1">1</definedName>
    <definedName name="solver_itr" localSheetId="5" hidden="1">2147483647</definedName>
    <definedName name="solver_itr" localSheetId="4" hidden="1">2147483647</definedName>
    <definedName name="solver_itr" localSheetId="7" hidden="1">2147483647</definedName>
    <definedName name="solver_itr" localSheetId="3" hidden="1">2147483647</definedName>
    <definedName name="solver_itr" localSheetId="2" hidden="1">2147483647</definedName>
    <definedName name="solver_itr" localSheetId="8" hidden="1">2147483647</definedName>
    <definedName name="solver_itr" localSheetId="6" hidden="1">2147483647</definedName>
    <definedName name="solver_lhs1" localSheetId="5" hidden="1">Clothing!$D$3:$D$5</definedName>
    <definedName name="solver_lhs1" localSheetId="4" hidden="1">Electronics!$D$3:$D$5</definedName>
    <definedName name="solver_lhs1" localSheetId="7" hidden="1">Furniture!$D$3:$D$5</definedName>
    <definedName name="solver_lhs1" localSheetId="3" hidden="1">Inventory!#REF!</definedName>
    <definedName name="solver_lhs1" localSheetId="2" hidden="1">Investment!$C$6:$C$10</definedName>
    <definedName name="solver_lhs1" localSheetId="8" hidden="1">Media!$D$3:$D$5</definedName>
    <definedName name="solver_lhs1" localSheetId="6" hidden="1">Medical!$D$3:$D$5</definedName>
    <definedName name="solver_lhs2" localSheetId="5" hidden="1">Clothing!$H$13</definedName>
    <definedName name="solver_lhs2" localSheetId="4" hidden="1">Electronics!$H$13</definedName>
    <definedName name="solver_lhs2" localSheetId="7" hidden="1">Furniture!$H$13</definedName>
    <definedName name="solver_lhs2" localSheetId="3" hidden="1">Inventory!$P$4</definedName>
    <definedName name="solver_lhs2" localSheetId="2" hidden="1">Investment!$B$6:$B$10</definedName>
    <definedName name="solver_lhs2" localSheetId="8" hidden="1">Media!$H$13</definedName>
    <definedName name="solver_lhs2" localSheetId="6" hidden="1">Medical!$H$13</definedName>
    <definedName name="solver_lhs3" localSheetId="2" hidden="1">Investment!$C$6:$C$10</definedName>
    <definedName name="solver_lhs4" localSheetId="2" hidden="1">Investment!$B$13</definedName>
    <definedName name="solver_lhs5" localSheetId="2" hidden="1">Investment!$D$13</definedName>
    <definedName name="solver_mip" localSheetId="5" hidden="1">2147483647</definedName>
    <definedName name="solver_mip" localSheetId="4" hidden="1">2147483647</definedName>
    <definedName name="solver_mip" localSheetId="7" hidden="1">2147483647</definedName>
    <definedName name="solver_mip" localSheetId="3" hidden="1">2147483647</definedName>
    <definedName name="solver_mip" localSheetId="2" hidden="1">2147483647</definedName>
    <definedName name="solver_mip" localSheetId="8" hidden="1">2147483647</definedName>
    <definedName name="solver_mip" localSheetId="6" hidden="1">2147483647</definedName>
    <definedName name="solver_mni" localSheetId="5" hidden="1">30</definedName>
    <definedName name="solver_mni" localSheetId="4" hidden="1">30</definedName>
    <definedName name="solver_mni" localSheetId="7" hidden="1">30</definedName>
    <definedName name="solver_mni" localSheetId="3" hidden="1">30</definedName>
    <definedName name="solver_mni" localSheetId="2" hidden="1">30</definedName>
    <definedName name="solver_mni" localSheetId="8" hidden="1">30</definedName>
    <definedName name="solver_mni" localSheetId="6" hidden="1">30</definedName>
    <definedName name="solver_mrt" localSheetId="5" hidden="1">0.075</definedName>
    <definedName name="solver_mrt" localSheetId="4" hidden="1">0.075</definedName>
    <definedName name="solver_mrt" localSheetId="7" hidden="1">0.075</definedName>
    <definedName name="solver_mrt" localSheetId="3" hidden="1">0.075</definedName>
    <definedName name="solver_mrt" localSheetId="2" hidden="1">0.075</definedName>
    <definedName name="solver_mrt" localSheetId="8" hidden="1">0.075</definedName>
    <definedName name="solver_mrt" localSheetId="6" hidden="1">0.075</definedName>
    <definedName name="solver_msl" localSheetId="5" hidden="1">2</definedName>
    <definedName name="solver_msl" localSheetId="4" hidden="1">2</definedName>
    <definedName name="solver_msl" localSheetId="7" hidden="1">2</definedName>
    <definedName name="solver_msl" localSheetId="3" hidden="1">2</definedName>
    <definedName name="solver_msl" localSheetId="2" hidden="1">2</definedName>
    <definedName name="solver_msl" localSheetId="8" hidden="1">2</definedName>
    <definedName name="solver_msl" localSheetId="6" hidden="1">2</definedName>
    <definedName name="solver_neg" localSheetId="5" hidden="1">1</definedName>
    <definedName name="solver_neg" localSheetId="4" hidden="1">1</definedName>
    <definedName name="solver_neg" localSheetId="7" hidden="1">1</definedName>
    <definedName name="solver_neg" localSheetId="3" hidden="1">1</definedName>
    <definedName name="solver_neg" localSheetId="2" hidden="1">1</definedName>
    <definedName name="solver_neg" localSheetId="8" hidden="1">1</definedName>
    <definedName name="solver_neg" localSheetId="6" hidden="1">1</definedName>
    <definedName name="solver_nod" localSheetId="5" hidden="1">2147483647</definedName>
    <definedName name="solver_nod" localSheetId="4" hidden="1">2147483647</definedName>
    <definedName name="solver_nod" localSheetId="7" hidden="1">2147483647</definedName>
    <definedName name="solver_nod" localSheetId="3" hidden="1">2147483647</definedName>
    <definedName name="solver_nod" localSheetId="2" hidden="1">2147483647</definedName>
    <definedName name="solver_nod" localSheetId="8" hidden="1">2147483647</definedName>
    <definedName name="solver_nod" localSheetId="6" hidden="1">2147483647</definedName>
    <definedName name="solver_num" localSheetId="5" hidden="1">2</definedName>
    <definedName name="solver_num" localSheetId="4" hidden="1">2</definedName>
    <definedName name="solver_num" localSheetId="7" hidden="1">2</definedName>
    <definedName name="solver_num" localSheetId="3" hidden="1">2</definedName>
    <definedName name="solver_num" localSheetId="2" hidden="1">5</definedName>
    <definedName name="solver_num" localSheetId="8" hidden="1">2</definedName>
    <definedName name="solver_num" localSheetId="6" hidden="1">2</definedName>
    <definedName name="solver_nwt" localSheetId="5" hidden="1">1</definedName>
    <definedName name="solver_nwt" localSheetId="4" hidden="1">1</definedName>
    <definedName name="solver_nwt" localSheetId="7" hidden="1">1</definedName>
    <definedName name="solver_nwt" localSheetId="3" hidden="1">1</definedName>
    <definedName name="solver_nwt" localSheetId="2" hidden="1">1</definedName>
    <definedName name="solver_nwt" localSheetId="8" hidden="1">1</definedName>
    <definedName name="solver_nwt" localSheetId="6" hidden="1">1</definedName>
    <definedName name="solver_opt" localSheetId="5" hidden="1">Clothing!$I$10</definedName>
    <definedName name="solver_opt" localSheetId="4" hidden="1">Electronics!$I$10</definedName>
    <definedName name="solver_opt" localSheetId="7" hidden="1">Furniture!$I$10</definedName>
    <definedName name="solver_opt" localSheetId="3" hidden="1">Inventory!$I$5</definedName>
    <definedName name="solver_opt" localSheetId="2" hidden="1">Investment!$F$17</definedName>
    <definedName name="solver_opt" localSheetId="8" hidden="1">Media!$I$10</definedName>
    <definedName name="solver_opt" localSheetId="6" hidden="1">Medical!$I$10</definedName>
    <definedName name="solver_pre" localSheetId="5" hidden="1">0.000001</definedName>
    <definedName name="solver_pre" localSheetId="4" hidden="1">0.000001</definedName>
    <definedName name="solver_pre" localSheetId="7" hidden="1">0.000001</definedName>
    <definedName name="solver_pre" localSheetId="3" hidden="1">0.000001</definedName>
    <definedName name="solver_pre" localSheetId="2" hidden="1">0.000001</definedName>
    <definedName name="solver_pre" localSheetId="8" hidden="1">0.000001</definedName>
    <definedName name="solver_pre" localSheetId="6" hidden="1">0.000001</definedName>
    <definedName name="solver_rbv" localSheetId="5" hidden="1">1</definedName>
    <definedName name="solver_rbv" localSheetId="4" hidden="1">1</definedName>
    <definedName name="solver_rbv" localSheetId="7" hidden="1">1</definedName>
    <definedName name="solver_rbv" localSheetId="3" hidden="1">1</definedName>
    <definedName name="solver_rbv" localSheetId="2" hidden="1">1</definedName>
    <definedName name="solver_rbv" localSheetId="8" hidden="1">1</definedName>
    <definedName name="solver_rbv" localSheetId="6" hidden="1">1</definedName>
    <definedName name="solver_rel1" localSheetId="5" hidden="1">4</definedName>
    <definedName name="solver_rel1" localSheetId="4" hidden="1">4</definedName>
    <definedName name="solver_rel1" localSheetId="7" hidden="1">4</definedName>
    <definedName name="solver_rel1" localSheetId="3" hidden="1">4</definedName>
    <definedName name="solver_rel1" localSheetId="2" hidden="1">3</definedName>
    <definedName name="solver_rel1" localSheetId="8" hidden="1">4</definedName>
    <definedName name="solver_rel1" localSheetId="6" hidden="1">4</definedName>
    <definedName name="solver_rel2" localSheetId="5" hidden="1">1</definedName>
    <definedName name="solver_rel2" localSheetId="4" hidden="1">1</definedName>
    <definedName name="solver_rel2" localSheetId="7" hidden="1">1</definedName>
    <definedName name="solver_rel2" localSheetId="3" hidden="1">1</definedName>
    <definedName name="solver_rel2" localSheetId="2" hidden="1">5</definedName>
    <definedName name="solver_rel2" localSheetId="8" hidden="1">1</definedName>
    <definedName name="solver_rel2" localSheetId="6" hidden="1">1</definedName>
    <definedName name="solver_rel3" localSheetId="2" hidden="1">1</definedName>
    <definedName name="solver_rel4" localSheetId="2" hidden="1">3</definedName>
    <definedName name="solver_rel5" localSheetId="2" hidden="1">1</definedName>
    <definedName name="solver_rhs1" localSheetId="5" hidden="1">"integer"</definedName>
    <definedName name="solver_rhs1" localSheetId="4" hidden="1">"integer"</definedName>
    <definedName name="solver_rhs1" localSheetId="7" hidden="1">"integer"</definedName>
    <definedName name="solver_rhs1" localSheetId="3" hidden="1">"integer"</definedName>
    <definedName name="solver_rhs1" localSheetId="2" hidden="1">MinAlloc</definedName>
    <definedName name="solver_rhs1" localSheetId="8" hidden="1">"integer"</definedName>
    <definedName name="solver_rhs1" localSheetId="6" hidden="1">"integer"</definedName>
    <definedName name="solver_rhs2" localSheetId="5" hidden="1">Clothing!$I$13</definedName>
    <definedName name="solver_rhs2" localSheetId="4" hidden="1">Electronics!$I$13</definedName>
    <definedName name="solver_rhs2" localSheetId="7" hidden="1">Furniture!$I$13</definedName>
    <definedName name="solver_rhs2" localSheetId="3" hidden="1">Available_Funds</definedName>
    <definedName name="solver_rhs2" localSheetId="2" hidden="1">"binary"</definedName>
    <definedName name="solver_rhs2" localSheetId="8" hidden="1">Media!$I$13</definedName>
    <definedName name="solver_rhs2" localSheetId="6" hidden="1">Medical!$I$13</definedName>
    <definedName name="solver_rhs3" localSheetId="2" hidden="1">MaxAlloc</definedName>
    <definedName name="solver_rhs4" localSheetId="2" hidden="1">MinSelect</definedName>
    <definedName name="solver_rhs5" localSheetId="2" hidden="1">AvailFund</definedName>
    <definedName name="solver_rlx" localSheetId="5" hidden="1">2</definedName>
    <definedName name="solver_rlx" localSheetId="4" hidden="1">2</definedName>
    <definedName name="solver_rlx" localSheetId="7" hidden="1">2</definedName>
    <definedName name="solver_rlx" localSheetId="3" hidden="1">2</definedName>
    <definedName name="solver_rlx" localSheetId="2" hidden="1">2</definedName>
    <definedName name="solver_rlx" localSheetId="8" hidden="1">2</definedName>
    <definedName name="solver_rlx" localSheetId="6" hidden="1">2</definedName>
    <definedName name="solver_rsd" localSheetId="5" hidden="1">0</definedName>
    <definedName name="solver_rsd" localSheetId="4" hidden="1">0</definedName>
    <definedName name="solver_rsd" localSheetId="7" hidden="1">0</definedName>
    <definedName name="solver_rsd" localSheetId="3" hidden="1">0</definedName>
    <definedName name="solver_rsd" localSheetId="2" hidden="1">0</definedName>
    <definedName name="solver_rsd" localSheetId="8" hidden="1">0</definedName>
    <definedName name="solver_rsd" localSheetId="6" hidden="1">0</definedName>
    <definedName name="solver_scl" localSheetId="5" hidden="1">1</definedName>
    <definedName name="solver_scl" localSheetId="4" hidden="1">1</definedName>
    <definedName name="solver_scl" localSheetId="7" hidden="1">1</definedName>
    <definedName name="solver_scl" localSheetId="3" hidden="1">1</definedName>
    <definedName name="solver_scl" localSheetId="2" hidden="1">1</definedName>
    <definedName name="solver_scl" localSheetId="8" hidden="1">1</definedName>
    <definedName name="solver_scl" localSheetId="6" hidden="1">1</definedName>
    <definedName name="solver_sho" localSheetId="5" hidden="1">2</definedName>
    <definedName name="solver_sho" localSheetId="4" hidden="1">2</definedName>
    <definedName name="solver_sho" localSheetId="7" hidden="1">2</definedName>
    <definedName name="solver_sho" localSheetId="3" hidden="1">2</definedName>
    <definedName name="solver_sho" localSheetId="2" hidden="1">2</definedName>
    <definedName name="solver_sho" localSheetId="8" hidden="1">2</definedName>
    <definedName name="solver_sho" localSheetId="6" hidden="1">2</definedName>
    <definedName name="solver_ssz" localSheetId="5" hidden="1">100</definedName>
    <definedName name="solver_ssz" localSheetId="4" hidden="1">100</definedName>
    <definedName name="solver_ssz" localSheetId="7" hidden="1">100</definedName>
    <definedName name="solver_ssz" localSheetId="3" hidden="1">100</definedName>
    <definedName name="solver_ssz" localSheetId="2" hidden="1">100</definedName>
    <definedName name="solver_ssz" localSheetId="8" hidden="1">100</definedName>
    <definedName name="solver_ssz" localSheetId="6" hidden="1">100</definedName>
    <definedName name="solver_tim" localSheetId="5" hidden="1">2147483647</definedName>
    <definedName name="solver_tim" localSheetId="4" hidden="1">2147483647</definedName>
    <definedName name="solver_tim" localSheetId="7" hidden="1">2147483647</definedName>
    <definedName name="solver_tim" localSheetId="3" hidden="1">2147483647</definedName>
    <definedName name="solver_tim" localSheetId="2" hidden="1">2147483647</definedName>
    <definedName name="solver_tim" localSheetId="8" hidden="1">2147483647</definedName>
    <definedName name="solver_tim" localSheetId="6" hidden="1">2147483647</definedName>
    <definedName name="solver_tol" localSheetId="5" hidden="1">0.01</definedName>
    <definedName name="solver_tol" localSheetId="4" hidden="1">0.01</definedName>
    <definedName name="solver_tol" localSheetId="7" hidden="1">0.01</definedName>
    <definedName name="solver_tol" localSheetId="3" hidden="1">0.01</definedName>
    <definedName name="solver_tol" localSheetId="2" hidden="1">0.01</definedName>
    <definedName name="solver_tol" localSheetId="8" hidden="1">0.01</definedName>
    <definedName name="solver_tol" localSheetId="6" hidden="1">0.01</definedName>
    <definedName name="solver_typ" localSheetId="5" hidden="1">2</definedName>
    <definedName name="solver_typ" localSheetId="4" hidden="1">2</definedName>
    <definedName name="solver_typ" localSheetId="7" hidden="1">2</definedName>
    <definedName name="solver_typ" localSheetId="3" hidden="1">2</definedName>
    <definedName name="solver_typ" localSheetId="2" hidden="1">1</definedName>
    <definedName name="solver_typ" localSheetId="8" hidden="1">2</definedName>
    <definedName name="solver_typ" localSheetId="6" hidden="1">2</definedName>
    <definedName name="solver_val" localSheetId="5" hidden="1">0</definedName>
    <definedName name="solver_val" localSheetId="4" hidden="1">0</definedName>
    <definedName name="solver_val" localSheetId="7" hidden="1">0</definedName>
    <definedName name="solver_val" localSheetId="3" hidden="1">0</definedName>
    <definedName name="solver_val" localSheetId="2" hidden="1">0</definedName>
    <definedName name="solver_val" localSheetId="8" hidden="1">0</definedName>
    <definedName name="solver_val" localSheetId="6" hidden="1">0</definedName>
    <definedName name="solver_ver" localSheetId="5" hidden="1">3</definedName>
    <definedName name="solver_ver" localSheetId="4" hidden="1">3</definedName>
    <definedName name="solver_ver" localSheetId="7" hidden="1">3</definedName>
    <definedName name="solver_ver" localSheetId="3" hidden="1">3</definedName>
    <definedName name="solver_ver" localSheetId="2" hidden="1">3</definedName>
    <definedName name="solver_ver" localSheetId="8" hidden="1">3</definedName>
    <definedName name="solver_ver" localSheetId="6" hidden="1">3</definedName>
    <definedName name="Start_End">#REF!</definedName>
    <definedName name="StatusBar">#REF!</definedName>
    <definedName name="Time_Stop">#REF!</definedName>
    <definedName name="TixPrice">#REF!</definedName>
    <definedName name="To">#REF!</definedName>
    <definedName name="Total_Cost">#REF!</definedName>
    <definedName name="Total_Costs" localSheetId="5">Clothing!$H$13</definedName>
    <definedName name="Total_Costs" localSheetId="4">Electronics!$H$13</definedName>
    <definedName name="Total_Costs" localSheetId="7">Furniture!$H$13</definedName>
    <definedName name="Total_Costs" localSheetId="8">Media!$H$13</definedName>
    <definedName name="Total_Costs" localSheetId="6">Medical!$H$13</definedName>
    <definedName name="Total_Costs">Inventory!$P$4</definedName>
    <definedName name="Total_Demand">#REF!</definedName>
    <definedName name="Total_From_WH">#REF!</definedName>
    <definedName name="Total_Holding" localSheetId="5">Clothing!$I$10</definedName>
    <definedName name="Total_Holding" localSheetId="4">Electronics!$I$10</definedName>
    <definedName name="Total_Holding" localSheetId="7">Furniture!$I$10</definedName>
    <definedName name="Total_Holding" localSheetId="8">Media!$I$10</definedName>
    <definedName name="Total_Holding" localSheetId="6">Medical!$I$10</definedName>
    <definedName name="Total_Holding">Inventory!$I$5</definedName>
    <definedName name="Total_Load">#REF!</definedName>
    <definedName name="Total_Lost_Sales" localSheetId="5">Clothing!$I$10</definedName>
    <definedName name="Total_Lost_Sales" localSheetId="4">Electronics!$I$10</definedName>
    <definedName name="Total_Lost_Sales" localSheetId="7">Furniture!$I$10</definedName>
    <definedName name="Total_Lost_Sales" localSheetId="8">Media!$I$10</definedName>
    <definedName name="Total_Lost_Sales" localSheetId="6">Medical!$I$10</definedName>
    <definedName name="Total_Lost_Sales">Inventory!$I$5</definedName>
    <definedName name="Total_Order" localSheetId="5">Clothing!$H$10</definedName>
    <definedName name="Total_Order" localSheetId="4">Electronics!$H$10</definedName>
    <definedName name="Total_Order" localSheetId="7">Furniture!$H$10</definedName>
    <definedName name="Total_Order" localSheetId="8">Media!$H$10</definedName>
    <definedName name="Total_Order" localSheetId="6">Medical!$H$10</definedName>
    <definedName name="Total_Order">Inventory!$H$5</definedName>
    <definedName name="Total_Overall_Cost">#REF!</definedName>
    <definedName name="Total_Path_Cost">#REF!</definedName>
    <definedName name="Total_Profit" localSheetId="5">Clothing!$J$13</definedName>
    <definedName name="Total_Profit" localSheetId="4">Electronics!$J$13</definedName>
    <definedName name="Total_Profit" localSheetId="7">Furniture!$J$13</definedName>
    <definedName name="Total_Profit" localSheetId="8">Media!$J$13</definedName>
    <definedName name="Total_Profit" localSheetId="6">Medical!$J$13</definedName>
    <definedName name="Total_Profit">Inventory!$R$4</definedName>
    <definedName name="Total_Revenue" localSheetId="5">Clothing!$J$10</definedName>
    <definedName name="Total_Revenue" localSheetId="4">Electronics!$J$10</definedName>
    <definedName name="Total_Revenue" localSheetId="7">Furniture!$J$10</definedName>
    <definedName name="Total_Revenue" localSheetId="8">Media!$J$10</definedName>
    <definedName name="Total_Revenue" localSheetId="6">Medical!$J$10</definedName>
    <definedName name="Total_Revenue">Inventory!$J$5</definedName>
    <definedName name="Total_Ship_Cost">#REF!</definedName>
    <definedName name="Total_Shipped">#REF!</definedName>
    <definedName name="Total_To_City">#REF!</definedName>
    <definedName name="Total_Travel_Cost">#REF!</definedName>
    <definedName name="Total_Travel_Time">#REF!</definedName>
    <definedName name="Total_Unmet_Penalty">#REF!</definedName>
    <definedName name="TotalCost">#REF!</definedName>
    <definedName name="TotInvest">Investment!$D$13</definedName>
    <definedName name="TotSelect">Investment!$B$13</definedName>
    <definedName name="Train">#REF!</definedName>
    <definedName name="TravelDV">#REF!</definedName>
    <definedName name="TrialStart">#REF!</definedName>
    <definedName name="Truck">#REF!</definedName>
    <definedName name="Truck_1">#REF!</definedName>
    <definedName name="Truck_2">#REF!</definedName>
    <definedName name="Truck_3">#REF!</definedName>
    <definedName name="Unit_Cost">#REF!</definedName>
    <definedName name="Unit_Shipping_Cost">#REF!</definedName>
    <definedName name="Unmet_Demand">#REF!</definedName>
    <definedName name="Unmet_Penalty">#REF!</definedName>
    <definedName name="Updated_Inventory" localSheetId="5">Clothing!$E$3:$E$7</definedName>
    <definedName name="Updated_Inventory" localSheetId="4">Electronics!$E$3:$E$7</definedName>
    <definedName name="Updated_Inventory" localSheetId="7">Furniture!$E$3:$E$7</definedName>
    <definedName name="Updated_Inventory" localSheetId="8">Media!$E$3:$E$7</definedName>
    <definedName name="Updated_Inventory" localSheetId="6">Medical!$E$3:$E$7</definedName>
    <definedName name="Updated_Inventory">Inventory!#REF!</definedName>
    <definedName name="Vienna">#REF!</definedName>
    <definedName name="WH_1">#REF!</definedName>
    <definedName name="WH_2">#REF!</definedName>
  </definedNames>
  <calcPr calcId="191028" calcMode="manual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22" l="1"/>
  <c r="E9" i="3"/>
  <c r="H9" i="3"/>
  <c r="K9" i="3"/>
  <c r="B9" i="3"/>
  <c r="B13" i="5"/>
  <c r="D6" i="5"/>
  <c r="Q4" i="3"/>
  <c r="N10" i="3"/>
  <c r="N9" i="3"/>
  <c r="N6" i="3"/>
  <c r="K10" i="3"/>
  <c r="K6" i="3"/>
  <c r="H10" i="3"/>
  <c r="H6" i="3"/>
  <c r="H5" i="3"/>
  <c r="H4" i="3"/>
  <c r="E10" i="3"/>
  <c r="B10" i="3"/>
  <c r="B6" i="3"/>
  <c r="H10" i="22"/>
  <c r="F5" i="22"/>
  <c r="G5" i="22" s="1"/>
  <c r="E5" i="22"/>
  <c r="E4" i="22"/>
  <c r="F4" i="22" s="1"/>
  <c r="G4" i="22" s="1"/>
  <c r="E3" i="22"/>
  <c r="F3" i="22" s="1"/>
  <c r="H10" i="21"/>
  <c r="E5" i="21"/>
  <c r="F5" i="21" s="1"/>
  <c r="G5" i="21" s="1"/>
  <c r="E4" i="21"/>
  <c r="F4" i="21" s="1"/>
  <c r="G4" i="21" s="1"/>
  <c r="E3" i="21"/>
  <c r="F3" i="21" s="1"/>
  <c r="H10" i="20"/>
  <c r="E5" i="20"/>
  <c r="F5" i="20" s="1"/>
  <c r="G5" i="20" s="1"/>
  <c r="E4" i="20"/>
  <c r="F4" i="20" s="1"/>
  <c r="G4" i="20" s="1"/>
  <c r="E3" i="20"/>
  <c r="F3" i="20" s="1"/>
  <c r="H10" i="19"/>
  <c r="E5" i="19"/>
  <c r="F5" i="19" s="1"/>
  <c r="G5" i="19" s="1"/>
  <c r="E4" i="19"/>
  <c r="F4" i="19" s="1"/>
  <c r="G4" i="19" s="1"/>
  <c r="E3" i="19"/>
  <c r="F3" i="19" s="1"/>
  <c r="H10" i="13"/>
  <c r="E5" i="13"/>
  <c r="F5" i="13" s="1"/>
  <c r="G5" i="13" s="1"/>
  <c r="E4" i="13"/>
  <c r="F4" i="13" s="1"/>
  <c r="G4" i="13" s="1"/>
  <c r="E3" i="13"/>
  <c r="F3" i="13" s="1"/>
  <c r="G3" i="20" l="1"/>
  <c r="I10" i="20" s="1"/>
  <c r="H13" i="20" s="1"/>
  <c r="J10" i="20"/>
  <c r="G3" i="19"/>
  <c r="I10" i="19" s="1"/>
  <c r="H13" i="19" s="1"/>
  <c r="E5" i="3" s="1"/>
  <c r="J10" i="19"/>
  <c r="J10" i="22"/>
  <c r="G3" i="22"/>
  <c r="J10" i="21"/>
  <c r="G3" i="21"/>
  <c r="I10" i="21" s="1"/>
  <c r="H13" i="21" s="1"/>
  <c r="K5" i="3" s="1"/>
  <c r="J10" i="13"/>
  <c r="G3" i="13"/>
  <c r="I10" i="13" l="1"/>
  <c r="H13" i="13" s="1"/>
  <c r="J13" i="19"/>
  <c r="E4" i="3"/>
  <c r="K4" i="3"/>
  <c r="H13" i="22"/>
  <c r="J13" i="20"/>
  <c r="J13" i="21"/>
  <c r="B5" i="3" l="1"/>
  <c r="J13" i="13"/>
  <c r="B4" i="3"/>
  <c r="J13" i="22"/>
  <c r="N5" i="3"/>
  <c r="P4" i="3" s="1"/>
  <c r="N4" i="3"/>
  <c r="D7" i="5"/>
  <c r="D8" i="5"/>
  <c r="D9" i="5"/>
  <c r="D10" i="5"/>
  <c r="R4" i="3" l="1"/>
  <c r="F15" i="5"/>
  <c r="F13" i="5"/>
  <c r="D13" i="5"/>
  <c r="F17" i="5" l="1"/>
</calcChain>
</file>

<file path=xl/sharedStrings.xml><?xml version="1.0" encoding="utf-8"?>
<sst xmlns="http://schemas.openxmlformats.org/spreadsheetml/2006/main" count="256" uniqueCount="104">
  <si>
    <t>WELCOME</t>
  </si>
  <si>
    <t>Amazon Inventory and Investment Analysis System</t>
  </si>
  <si>
    <t>UserName</t>
  </si>
  <si>
    <t>Password</t>
  </si>
  <si>
    <t>Name</t>
  </si>
  <si>
    <t>Role</t>
  </si>
  <si>
    <t>Department</t>
  </si>
  <si>
    <t>Products</t>
  </si>
  <si>
    <t>milena1</t>
  </si>
  <si>
    <t>Milena</t>
  </si>
  <si>
    <t>Product</t>
  </si>
  <si>
    <t>Electronics</t>
  </si>
  <si>
    <t>TVs</t>
  </si>
  <si>
    <t>alaiya2</t>
  </si>
  <si>
    <t>Alaiya</t>
  </si>
  <si>
    <t>Clothing</t>
  </si>
  <si>
    <t>Laptops</t>
  </si>
  <si>
    <t>vasil3</t>
  </si>
  <si>
    <t>Vasil</t>
  </si>
  <si>
    <t>Medical</t>
  </si>
  <si>
    <t>Tablets</t>
  </si>
  <si>
    <t>todd4</t>
  </si>
  <si>
    <t>Todd</t>
  </si>
  <si>
    <t>Furniture</t>
  </si>
  <si>
    <t>Shirts</t>
  </si>
  <si>
    <t>sabriyya5</t>
  </si>
  <si>
    <t>Sabriyya</t>
  </si>
  <si>
    <t>Supply</t>
  </si>
  <si>
    <t>Movies/shows</t>
  </si>
  <si>
    <t>Pants</t>
  </si>
  <si>
    <t>brothwood6</t>
  </si>
  <si>
    <t>Brothwood</t>
  </si>
  <si>
    <t>Socks</t>
  </si>
  <si>
    <t>mack7</t>
  </si>
  <si>
    <t>Mack</t>
  </si>
  <si>
    <t>Mucinex</t>
  </si>
  <si>
    <t>Eye Drops</t>
  </si>
  <si>
    <t>Ibuprofen</t>
  </si>
  <si>
    <t>Couchs</t>
  </si>
  <si>
    <t>Tables</t>
  </si>
  <si>
    <t>Chairs</t>
  </si>
  <si>
    <t>Movies</t>
  </si>
  <si>
    <t>Shows</t>
  </si>
  <si>
    <t>Sports</t>
  </si>
  <si>
    <t>Row Labels</t>
  </si>
  <si>
    <t>Sum of Investment</t>
  </si>
  <si>
    <t>Media2</t>
  </si>
  <si>
    <t>Grand Total</t>
  </si>
  <si>
    <t>DEPARTMENT INVESTMENT AND ALLOCATION MODEL</t>
  </si>
  <si>
    <t xml:space="preserve">Finds the best allocation of what each department needs and where to max return and min loss </t>
  </si>
  <si>
    <t>Options</t>
  </si>
  <si>
    <t>Selected</t>
  </si>
  <si>
    <t>Allocation</t>
  </si>
  <si>
    <t>Investment</t>
  </si>
  <si>
    <t>Return Rate</t>
  </si>
  <si>
    <t>Risk Rate</t>
  </si>
  <si>
    <t>User Inputs:</t>
  </si>
  <si>
    <t>Min to Select</t>
  </si>
  <si>
    <t>Min Allocation</t>
  </si>
  <si>
    <t>Max Allocation</t>
  </si>
  <si>
    <t>Media</t>
  </si>
  <si>
    <t>Available Funds</t>
  </si>
  <si>
    <t>Return Rates &amp;</t>
  </si>
  <si>
    <t>Total Selected</t>
  </si>
  <si>
    <t>Total Invested</t>
  </si>
  <si>
    <t>Expected Returns</t>
  </si>
  <si>
    <t>Risk Rates</t>
  </si>
  <si>
    <t>Expected Risk</t>
  </si>
  <si>
    <t>Expected Profit</t>
  </si>
  <si>
    <t>Objective</t>
  </si>
  <si>
    <t>Max Exp Returns</t>
  </si>
  <si>
    <t>Min Exp Risk</t>
  </si>
  <si>
    <t xml:space="preserve">Summary Department Inventory - Ordering Model </t>
  </si>
  <si>
    <t xml:space="preserve">Uses input from based off of the current inventory model helps us know where is best to invest money. We can use that knowledge to minimize loss or maximize profit </t>
  </si>
  <si>
    <t xml:space="preserve">Furniture </t>
  </si>
  <si>
    <t xml:space="preserve">Media </t>
  </si>
  <si>
    <t>Total Costs</t>
  </si>
  <si>
    <t>Total Profit</t>
  </si>
  <si>
    <t>Total Order Quantity</t>
  </si>
  <si>
    <r>
      <rPr>
        <b/>
        <sz val="11"/>
        <color rgb="FF000000"/>
        <rFont val="Calibri"/>
        <family val="2"/>
      </rPr>
      <t> Min</t>
    </r>
    <r>
      <rPr>
        <sz val="11"/>
        <color rgb="FF000000"/>
        <rFont val="Calibri"/>
        <family val="2"/>
      </rPr>
      <t xml:space="preserve"> </t>
    </r>
  </si>
  <si>
    <t xml:space="preserve"> Min </t>
  </si>
  <si>
    <t>Max</t>
  </si>
  <si>
    <t xml:space="preserve">Electronics Ordering Model </t>
  </si>
  <si>
    <t>Current Inventory</t>
  </si>
  <si>
    <t>Expected Demand</t>
  </si>
  <si>
    <t>Order Quantity</t>
  </si>
  <si>
    <t>Updated Inventory</t>
  </si>
  <si>
    <t>Actual Sales</t>
  </si>
  <si>
    <t>Lost Sales</t>
  </si>
  <si>
    <t>Order Cost</t>
  </si>
  <si>
    <t>Lost Sales Cost</t>
  </si>
  <si>
    <t>Sales Price</t>
  </si>
  <si>
    <t>Television</t>
  </si>
  <si>
    <t>User Input:</t>
  </si>
  <si>
    <t>Total Order</t>
  </si>
  <si>
    <t>Total Lost Sales</t>
  </si>
  <si>
    <t>Total Revenue</t>
  </si>
  <si>
    <t>Min Total Lost Sales Cost</t>
  </si>
  <si>
    <t>Max Profit</t>
  </si>
  <si>
    <t xml:space="preserve">Clothing Ordering Model </t>
  </si>
  <si>
    <t xml:space="preserve">Medical Ordering Model </t>
  </si>
  <si>
    <t xml:space="preserve">Furniture Ordering Model </t>
  </si>
  <si>
    <t>Couches</t>
  </si>
  <si>
    <t xml:space="preserve">Media Ordering Model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</si>
</sst>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rgb="FF232F3E"/>
      <name val="Calibri"/>
      <family val="2"/>
    </font>
    <font>
      <b/>
      <sz val="11"/>
      <color theme="0"/>
      <name val="Calibri"/>
      <family val="2"/>
      <scheme val="minor"/>
    </font>
    <font>
      <b/>
      <sz val="14"/>
      <color rgb="FF232F3E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b/>
      <sz val="22"/>
      <color theme="1" tint="0.14999847407452621"/>
      <name val="Calibri"/>
      <family val="2"/>
      <scheme val="minor"/>
    </font>
    <font>
      <b/>
      <i/>
      <sz val="20"/>
      <color theme="2" tint="-0.74999237037263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232F3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8A3C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F9F1F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55">
    <xf numFmtId="0" fontId="0" fillId="0" borderId="0" xfId="0"/>
    <xf numFmtId="0" fontId="6" fillId="3" borderId="1" xfId="0" applyFont="1" applyFill="1" applyBorder="1"/>
    <xf numFmtId="0" fontId="6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1" fontId="9" fillId="4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1" fillId="0" borderId="0" xfId="0" applyFont="1"/>
    <xf numFmtId="0" fontId="0" fillId="2" borderId="0" xfId="0" applyFill="1"/>
    <xf numFmtId="164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9" fontId="0" fillId="6" borderId="1" xfId="1" applyFont="1" applyFill="1" applyBorder="1" applyAlignment="1">
      <alignment horizontal="center"/>
    </xf>
    <xf numFmtId="10" fontId="0" fillId="6" borderId="1" xfId="1" applyNumberFormat="1" applyFont="1" applyFill="1" applyBorder="1" applyAlignment="1">
      <alignment horizontal="center"/>
    </xf>
    <xf numFmtId="164" fontId="0" fillId="2" borderId="0" xfId="0" applyNumberFormat="1" applyFill="1"/>
    <xf numFmtId="0" fontId="3" fillId="2" borderId="0" xfId="0" applyFont="1" applyFill="1"/>
    <xf numFmtId="0" fontId="2" fillId="2" borderId="0" xfId="0" applyFont="1" applyFill="1"/>
    <xf numFmtId="0" fontId="6" fillId="5" borderId="0" xfId="0" applyFont="1" applyFill="1" applyAlignment="1">
      <alignment horizontal="center"/>
    </xf>
    <xf numFmtId="0" fontId="12" fillId="2" borderId="0" xfId="0" applyFont="1" applyFill="1"/>
    <xf numFmtId="0" fontId="15" fillId="7" borderId="0" xfId="0" applyFont="1" applyFill="1"/>
    <xf numFmtId="0" fontId="15" fillId="2" borderId="0" xfId="0" applyFont="1" applyFill="1"/>
    <xf numFmtId="0" fontId="16" fillId="8" borderId="10" xfId="0" applyFont="1" applyFill="1" applyBorder="1"/>
    <xf numFmtId="0" fontId="6" fillId="8" borderId="10" xfId="0" applyFont="1" applyFill="1" applyBorder="1"/>
    <xf numFmtId="0" fontId="16" fillId="2" borderId="0" xfId="0" applyFont="1" applyFill="1"/>
    <xf numFmtId="0" fontId="16" fillId="8" borderId="11" xfId="0" applyFont="1" applyFill="1" applyBorder="1"/>
    <xf numFmtId="0" fontId="16" fillId="8" borderId="13" xfId="0" applyFont="1" applyFill="1" applyBorder="1"/>
    <xf numFmtId="1" fontId="15" fillId="6" borderId="10" xfId="0" applyNumberFormat="1" applyFont="1" applyFill="1" applyBorder="1"/>
    <xf numFmtId="0" fontId="15" fillId="6" borderId="10" xfId="0" applyFont="1" applyFill="1" applyBorder="1" applyAlignment="1">
      <alignment horizontal="right"/>
    </xf>
    <xf numFmtId="0" fontId="12" fillId="6" borderId="10" xfId="0" applyFont="1" applyFill="1" applyBorder="1" applyAlignment="1">
      <alignment horizontal="right"/>
    </xf>
    <xf numFmtId="0" fontId="17" fillId="6" borderId="10" xfId="0" applyFont="1" applyFill="1" applyBorder="1" applyAlignment="1">
      <alignment horizontal="right"/>
    </xf>
    <xf numFmtId="0" fontId="0" fillId="9" borderId="0" xfId="0" applyFill="1"/>
    <xf numFmtId="0" fontId="0" fillId="9" borderId="1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6" borderId="10" xfId="0" applyNumberFormat="1" applyFill="1" applyBorder="1"/>
    <xf numFmtId="164" fontId="0" fillId="6" borderId="12" xfId="0" applyNumberFormat="1" applyFill="1" applyBorder="1"/>
    <xf numFmtId="0" fontId="19" fillId="11" borderId="0" xfId="0" applyFont="1" applyFill="1"/>
    <xf numFmtId="0" fontId="0" fillId="11" borderId="0" xfId="0" applyFill="1"/>
    <xf numFmtId="0" fontId="18" fillId="10" borderId="0" xfId="0" applyFont="1" applyFill="1"/>
    <xf numFmtId="0" fontId="12" fillId="10" borderId="0" xfId="0" applyFont="1" applyFill="1"/>
    <xf numFmtId="0" fontId="7" fillId="4" borderId="8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4" borderId="0" xfId="0" applyFont="1" applyFill="1" applyAlignment="1">
      <alignment horizontal="center"/>
    </xf>
    <xf numFmtId="0" fontId="16" fillId="3" borderId="11" xfId="0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3" fillId="4" borderId="6" xfId="0" applyFont="1" applyFill="1" applyBorder="1" applyAlignment="1">
      <alignment horizontal="center"/>
    </xf>
    <xf numFmtId="0" fontId="13" fillId="4" borderId="7" xfId="0" applyFont="1" applyFill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232F3E"/>
      <color rgb="FFFF9900"/>
      <color rgb="FFDF9F1F"/>
      <color rgb="FFBFBFBF"/>
      <color rgb="FF48A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[HomeworkPR3.xlsm]Hidden!PivotTable1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32F3E"/>
                </a:solidFill>
              </a:rPr>
              <a:t>Investment Allocations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rgbClr val="232F3E"/>
            </a:solidFill>
          </a:ln>
          <a:effectLst/>
          <a:sp3d>
            <a:contourClr>
              <a:srgbClr val="232F3E"/>
            </a:contourClr>
          </a:sp3d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rgbClr val="232F3E"/>
            </a:solidFill>
          </a:ln>
          <a:effectLst/>
          <a:sp3d>
            <a:contourClr>
              <a:srgbClr val="232F3E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rgbClr val="232F3E"/>
            </a:solidFill>
          </a:ln>
          <a:effectLst/>
          <a:sp3d>
            <a:contourClr>
              <a:srgbClr val="232F3E"/>
            </a:contourClr>
          </a:sp3d>
        </c:spPr>
        <c:marker>
          <c:symbol val="none"/>
        </c:marker>
        <c:dLbl>
          <c:idx val="0"/>
          <c:numFmt formatCode="&quot;$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0"/>
      <c:rotY val="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solidFill>
          <a:srgbClr val="232F3E"/>
        </a:solidFill>
        <a:ln>
          <a:noFill/>
        </a:ln>
        <a:effectLst/>
        <a:sp3d/>
      </c:spPr>
    </c:sideWall>
    <c:backWall>
      <c:thickness val="0"/>
      <c:spPr>
        <a:solidFill>
          <a:srgbClr val="232F3E"/>
        </a:solidFill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495994772199302"/>
          <c:y val="0.17170856451003813"/>
          <c:w val="0.85497621278872293"/>
          <c:h val="0.69904486809776178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Hidden!$D$24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rgbClr val="232F3E"/>
              </a:solidFill>
            </a:ln>
            <a:effectLst/>
            <a:sp3d>
              <a:contourClr>
                <a:srgbClr val="232F3E"/>
              </a:contourClr>
            </a:sp3d>
          </c:spPr>
          <c:invertIfNegative val="0"/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Hidden!$C$25:$C$30</c:f>
              <c:strCache>
                <c:ptCount val="5"/>
                <c:pt idx="0">
                  <c:v>Clothing</c:v>
                </c:pt>
                <c:pt idx="1">
                  <c:v>Electronics</c:v>
                </c:pt>
                <c:pt idx="2">
                  <c:v>Furniture</c:v>
                </c:pt>
                <c:pt idx="3">
                  <c:v>Medical</c:v>
                </c:pt>
                <c:pt idx="4">
                  <c:v>Media2</c:v>
                </c:pt>
              </c:strCache>
            </c:strRef>
          </c:cat>
          <c:val>
            <c:numRef>
              <c:f>Hidden!$D$25:$D$30</c:f>
              <c:numCache>
                <c:formatCode>General</c:formatCode>
                <c:ptCount val="5"/>
                <c:pt idx="0">
                  <c:v>15000</c:v>
                </c:pt>
                <c:pt idx="1">
                  <c:v>0</c:v>
                </c:pt>
                <c:pt idx="2">
                  <c:v>0</c:v>
                </c:pt>
                <c:pt idx="3">
                  <c:v>15000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D7-41D8-BDF4-37DBEB90C4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0"/>
        <c:gapDepth val="0"/>
        <c:shape val="box"/>
        <c:axId val="468958624"/>
        <c:axId val="442152224"/>
        <c:axId val="0"/>
      </c:bar3DChart>
      <c:catAx>
        <c:axId val="46895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232F3E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32F3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52224"/>
        <c:crosses val="autoZero"/>
        <c:auto val="1"/>
        <c:lblAlgn val="ctr"/>
        <c:lblOffset val="100"/>
        <c:noMultiLvlLbl val="0"/>
      </c:catAx>
      <c:valAx>
        <c:axId val="442152224"/>
        <c:scaling>
          <c:orientation val="minMax"/>
        </c:scaling>
        <c:delete val="0"/>
        <c:axPos val="l"/>
        <c:numFmt formatCode="&quot;$&quot;#,##0.00" sourceLinked="0"/>
        <c:majorTickMark val="none"/>
        <c:minorTickMark val="none"/>
        <c:tickLblPos val="nextTo"/>
        <c:spPr>
          <a:noFill/>
          <a:ln>
            <a:solidFill>
              <a:srgbClr val="232F3E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32F3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5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9900"/>
    </a:solidFill>
    <a:ln w="9525" cap="flat" cmpd="sng" algn="ctr">
      <a:solidFill>
        <a:srgbClr val="232F3E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561975</xdr:colOff>
      <xdr:row>4</xdr:row>
      <xdr:rowOff>0</xdr:rowOff>
    </xdr:from>
    <xdr:to>
      <xdr:col>13</xdr:col>
      <xdr:colOff>571500</xdr:colOff>
      <xdr:row>34</xdr:row>
      <xdr:rowOff>114300</xdr:rowOff>
    </xdr:to>
    <xdr:pic>
      <xdr:nvPicPr>
        <xdr:cNvPr id="3" name="Picture 2" descr="A logo on a yellow and black background&#10;&#10;Description automatically generated">
          <a:extLst>
            <a:ext uri="{FF2B5EF4-FFF2-40B4-BE49-F238E27FC236}">
              <a16:creationId xmlns:a16="http://schemas.microsoft.com/office/drawing/2014/main" id="{F8918477-0879-1FD3-F87A-D8E795354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762000"/>
          <a:ext cx="7686675" cy="5829300"/>
        </a:xfrm>
        <a:prstGeom prst="rect">
          <a:avLst/>
        </a:prstGeom>
      </xdr:spPr>
    </xdr:pic>
    <xdr:clientData/>
  </xdr:twoCellAnchor>
  <xdr:twoCellAnchor>
    <xdr:from>
      <xdr:col>10</xdr:col>
      <xdr:colOff>542925</xdr:colOff>
      <xdr:row>0</xdr:row>
      <xdr:rowOff>123825</xdr:rowOff>
    </xdr:from>
    <xdr:to>
      <xdr:col>13</xdr:col>
      <xdr:colOff>369570</xdr:colOff>
      <xdr:row>3</xdr:row>
      <xdr:rowOff>85725</xdr:rowOff>
    </xdr:to>
    <xdr:sp macro="[0]!loginbutton" textlink="">
      <xdr:nvSpPr>
        <xdr:cNvPr id="13" name="Rectangle 12">
          <a:extLst>
            <a:ext uri="{FF2B5EF4-FFF2-40B4-BE49-F238E27FC236}">
              <a16:creationId xmlns:a16="http://schemas.microsoft.com/office/drawing/2014/main" id="{B658ECC0-1CD4-4068-A2B6-D78D1103C796}"/>
            </a:ext>
          </a:extLst>
        </xdr:cNvPr>
        <xdr:cNvSpPr/>
      </xdr:nvSpPr>
      <xdr:spPr>
        <a:xfrm>
          <a:off x="6448425" y="123825"/>
          <a:ext cx="1598295" cy="533400"/>
        </a:xfrm>
        <a:prstGeom prst="rect">
          <a:avLst/>
        </a:prstGeom>
        <a:solidFill>
          <a:schemeClr val="accent1"/>
        </a:solidFill>
        <a:ln w="12700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Log 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1531056</xdr:colOff>
      <xdr:row>0</xdr:row>
      <xdr:rowOff>21167</xdr:rowOff>
    </xdr:from>
    <xdr:to>
      <xdr:col>5</xdr:col>
      <xdr:colOff>1796930</xdr:colOff>
      <xdr:row>0</xdr:row>
      <xdr:rowOff>506537</xdr:rowOff>
    </xdr:to>
    <xdr:pic macro="[0]!HomeScreen">
      <xdr:nvPicPr>
        <xdr:cNvPr id="2" name="Picture 1" descr="Amazon, buy, logo, online, shop icon - Free download">
          <a:extLst>
            <a:ext uri="{FF2B5EF4-FFF2-40B4-BE49-F238E27FC236}">
              <a16:creationId xmlns:a16="http://schemas.microsoft.com/office/drawing/2014/main" id="{A9C94C2F-B4F7-814C-810C-C046A4789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3056" y="21167"/>
          <a:ext cx="484949" cy="485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228600</xdr:colOff>
      <xdr:row>0</xdr:row>
      <xdr:rowOff>129540</xdr:rowOff>
    </xdr:from>
    <xdr:to>
      <xdr:col>10</xdr:col>
      <xdr:colOff>99060</xdr:colOff>
      <xdr:row>1</xdr:row>
      <xdr:rowOff>121920</xdr:rowOff>
    </xdr:to>
    <xdr:sp macro="[0]!NavButtonPage" textlink="">
      <xdr:nvSpPr>
        <xdr:cNvPr id="3" name="Rectangle 2">
          <a:extLst>
            <a:ext uri="{FF2B5EF4-FFF2-40B4-BE49-F238E27FC236}">
              <a16:creationId xmlns:a16="http://schemas.microsoft.com/office/drawing/2014/main" id="{576D624D-2181-A06D-35FF-45CAA5745020}"/>
            </a:ext>
          </a:extLst>
        </xdr:cNvPr>
        <xdr:cNvSpPr/>
      </xdr:nvSpPr>
      <xdr:spPr>
        <a:xfrm>
          <a:off x="9083040" y="12954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Navigate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411480</xdr:colOff>
      <xdr:row>0</xdr:row>
      <xdr:rowOff>129540</xdr:rowOff>
    </xdr:from>
    <xdr:to>
      <xdr:col>13</xdr:col>
      <xdr:colOff>281940</xdr:colOff>
      <xdr:row>1</xdr:row>
      <xdr:rowOff>121920</xdr:rowOff>
    </xdr:to>
    <xdr:sp macro="[0]!DoSolver" textlink="">
      <xdr:nvSpPr>
        <xdr:cNvPr id="4" name="Rectangle 3">
          <a:extLst>
            <a:ext uri="{FF2B5EF4-FFF2-40B4-BE49-F238E27FC236}">
              <a16:creationId xmlns:a16="http://schemas.microsoft.com/office/drawing/2014/main" id="{DA1CF6C6-33D8-429E-B91D-6BD69318EADF}"/>
            </a:ext>
          </a:extLst>
        </xdr:cNvPr>
        <xdr:cNvSpPr/>
      </xdr:nvSpPr>
      <xdr:spPr>
        <a:xfrm>
          <a:off x="11049000" y="12954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Solve</a:t>
          </a:r>
          <a:r>
            <a:rPr lang="en-US" sz="1400" b="1" baseline="0">
              <a:solidFill>
                <a:schemeClr val="tx1"/>
              </a:solidFill>
            </a:rPr>
            <a:t> Assignment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695324</xdr:colOff>
      <xdr:row>22</xdr:row>
      <xdr:rowOff>142875</xdr:rowOff>
    </xdr:from>
    <xdr:to>
      <xdr:col>5</xdr:col>
      <xdr:colOff>1438274</xdr:colOff>
      <xdr:row>45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6B5C40F-74C2-4FDE-B10C-456E43A2F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1053465</xdr:colOff>
      <xdr:row>46</xdr:row>
      <xdr:rowOff>177165</xdr:rowOff>
    </xdr:from>
    <xdr:to>
      <xdr:col>3</xdr:col>
      <xdr:colOff>1076325</xdr:colOff>
      <xdr:row>49</xdr:row>
      <xdr:rowOff>112395</xdr:rowOff>
    </xdr:to>
    <xdr:sp macro="[0]!RefreshInvestmentChart" textlink="">
      <xdr:nvSpPr>
        <xdr:cNvPr id="6" name="Rectangle 5">
          <a:extLst>
            <a:ext uri="{FF2B5EF4-FFF2-40B4-BE49-F238E27FC236}">
              <a16:creationId xmlns:a16="http://schemas.microsoft.com/office/drawing/2014/main" id="{C78BB604-095F-4BD6-98DF-EC0D6E7BFAC2}"/>
            </a:ext>
          </a:extLst>
        </xdr:cNvPr>
        <xdr:cNvSpPr/>
      </xdr:nvSpPr>
      <xdr:spPr>
        <a:xfrm>
          <a:off x="3168015" y="8892540"/>
          <a:ext cx="1613535" cy="50673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Refresh</a:t>
          </a:r>
          <a:r>
            <a:rPr lang="en-US" sz="1400" b="1" baseline="0">
              <a:solidFill>
                <a:schemeClr val="tx1"/>
              </a:solidFill>
            </a:rPr>
            <a:t> Chart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98778</xdr:colOff>
      <xdr:row>0</xdr:row>
      <xdr:rowOff>22278</xdr:rowOff>
    </xdr:from>
    <xdr:to>
      <xdr:col>13</xdr:col>
      <xdr:colOff>545627</xdr:colOff>
      <xdr:row>0</xdr:row>
      <xdr:rowOff>507648</xdr:rowOff>
    </xdr:to>
    <xdr:pic macro="[0]!HomeScreen">
      <xdr:nvPicPr>
        <xdr:cNvPr id="5" name="Picture 4" descr="Amazon, buy, logo, online, shop icon - Free download">
          <a:extLst>
            <a:ext uri="{FF2B5EF4-FFF2-40B4-BE49-F238E27FC236}">
              <a16:creationId xmlns:a16="http://schemas.microsoft.com/office/drawing/2014/main" id="{04F27891-853E-E0A3-23AB-28F3E54B9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8478" y="22278"/>
          <a:ext cx="446849" cy="485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220980</xdr:colOff>
      <xdr:row>13</xdr:row>
      <xdr:rowOff>38100</xdr:rowOff>
    </xdr:from>
    <xdr:to>
      <xdr:col>4</xdr:col>
      <xdr:colOff>0</xdr:colOff>
      <xdr:row>16</xdr:row>
      <xdr:rowOff>0</xdr:rowOff>
    </xdr:to>
    <xdr:sp macro="[0]!NavButtonPage" textlink="">
      <xdr:nvSpPr>
        <xdr:cNvPr id="2" name="Rectangle 1">
          <a:extLst>
            <a:ext uri="{FF2B5EF4-FFF2-40B4-BE49-F238E27FC236}">
              <a16:creationId xmlns:a16="http://schemas.microsoft.com/office/drawing/2014/main" id="{6F87C203-E2A1-4AC6-90FB-82AB192E7A9B}"/>
            </a:ext>
          </a:extLst>
        </xdr:cNvPr>
        <xdr:cNvSpPr/>
      </xdr:nvSpPr>
      <xdr:spPr>
        <a:xfrm>
          <a:off x="1173480" y="277368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Navigate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481190</xdr:colOff>
      <xdr:row>0</xdr:row>
      <xdr:rowOff>33867</xdr:rowOff>
    </xdr:from>
    <xdr:to>
      <xdr:col>10</xdr:col>
      <xdr:colOff>4114</xdr:colOff>
      <xdr:row>0</xdr:row>
      <xdr:rowOff>519237</xdr:rowOff>
    </xdr:to>
    <xdr:pic macro="[0]!HomeScreen">
      <xdr:nvPicPr>
        <xdr:cNvPr id="3" name="Picture 2" descr="Amazon, buy, logo, online, shop icon - Free download">
          <a:extLst>
            <a:ext uri="{FF2B5EF4-FFF2-40B4-BE49-F238E27FC236}">
              <a16:creationId xmlns:a16="http://schemas.microsoft.com/office/drawing/2014/main" id="{3C1004A1-B262-E045-BC9B-1C8E25312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17968" y="33867"/>
          <a:ext cx="484949" cy="485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807720</xdr:colOff>
      <xdr:row>17</xdr:row>
      <xdr:rowOff>137160</xdr:rowOff>
    </xdr:from>
    <xdr:to>
      <xdr:col>2</xdr:col>
      <xdr:colOff>175260</xdr:colOff>
      <xdr:row>20</xdr:row>
      <xdr:rowOff>99060</xdr:rowOff>
    </xdr:to>
    <xdr:sp macro="[0]!NavButtonPage" textlink="">
      <xdr:nvSpPr>
        <xdr:cNvPr id="2" name="Rectangle 1">
          <a:extLst>
            <a:ext uri="{FF2B5EF4-FFF2-40B4-BE49-F238E27FC236}">
              <a16:creationId xmlns:a16="http://schemas.microsoft.com/office/drawing/2014/main" id="{E9A87200-C190-424B-8731-1E9A249F3DCC}"/>
            </a:ext>
          </a:extLst>
        </xdr:cNvPr>
        <xdr:cNvSpPr/>
      </xdr:nvSpPr>
      <xdr:spPr>
        <a:xfrm>
          <a:off x="807720" y="361950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Navigate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800100</xdr:colOff>
      <xdr:row>21</xdr:row>
      <xdr:rowOff>106680</xdr:rowOff>
    </xdr:from>
    <xdr:to>
      <xdr:col>2</xdr:col>
      <xdr:colOff>167640</xdr:colOff>
      <xdr:row>24</xdr:row>
      <xdr:rowOff>68580</xdr:rowOff>
    </xdr:to>
    <xdr:sp macro="[0]!DoSolver" textlink="">
      <xdr:nvSpPr>
        <xdr:cNvPr id="4" name="Rectangle 3">
          <a:extLst>
            <a:ext uri="{FF2B5EF4-FFF2-40B4-BE49-F238E27FC236}">
              <a16:creationId xmlns:a16="http://schemas.microsoft.com/office/drawing/2014/main" id="{F303085A-98C0-46CD-B211-3E19479575EF}"/>
            </a:ext>
          </a:extLst>
        </xdr:cNvPr>
        <xdr:cNvSpPr/>
      </xdr:nvSpPr>
      <xdr:spPr>
        <a:xfrm>
          <a:off x="800100" y="432054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Solve</a:t>
          </a:r>
          <a:r>
            <a:rPr lang="en-US" sz="1400" b="1" baseline="0">
              <a:solidFill>
                <a:schemeClr val="tx1"/>
              </a:solidFill>
            </a:rPr>
            <a:t> Assignment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532902</xdr:colOff>
      <xdr:row>0</xdr:row>
      <xdr:rowOff>37769</xdr:rowOff>
    </xdr:from>
    <xdr:to>
      <xdr:col>9</xdr:col>
      <xdr:colOff>941651</xdr:colOff>
      <xdr:row>0</xdr:row>
      <xdr:rowOff>523139</xdr:rowOff>
    </xdr:to>
    <xdr:pic macro="[0]!HomeScreen">
      <xdr:nvPicPr>
        <xdr:cNvPr id="3" name="Picture 2" descr="Amazon, buy, logo, online, shop icon - Free download">
          <a:extLst>
            <a:ext uri="{FF2B5EF4-FFF2-40B4-BE49-F238E27FC236}">
              <a16:creationId xmlns:a16="http://schemas.microsoft.com/office/drawing/2014/main" id="{F4090C5E-C6EE-0145-B0A2-42FF20DD43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69680" y="37769"/>
          <a:ext cx="484949" cy="485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1089660</xdr:colOff>
      <xdr:row>9</xdr:row>
      <xdr:rowOff>167640</xdr:rowOff>
    </xdr:from>
    <xdr:to>
      <xdr:col>2</xdr:col>
      <xdr:colOff>457200</xdr:colOff>
      <xdr:row>12</xdr:row>
      <xdr:rowOff>129540</xdr:rowOff>
    </xdr:to>
    <xdr:sp macro="[0]!NavButtonPage" textlink="">
      <xdr:nvSpPr>
        <xdr:cNvPr id="2" name="Rectangle 1">
          <a:extLst>
            <a:ext uri="{FF2B5EF4-FFF2-40B4-BE49-F238E27FC236}">
              <a16:creationId xmlns:a16="http://schemas.microsoft.com/office/drawing/2014/main" id="{A4541CFA-C06C-4752-B266-B9BFA3AC0E25}"/>
            </a:ext>
          </a:extLst>
        </xdr:cNvPr>
        <xdr:cNvSpPr/>
      </xdr:nvSpPr>
      <xdr:spPr>
        <a:xfrm>
          <a:off x="1089660" y="217170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Navigate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1074420</xdr:colOff>
      <xdr:row>13</xdr:row>
      <xdr:rowOff>160020</xdr:rowOff>
    </xdr:from>
    <xdr:to>
      <xdr:col>2</xdr:col>
      <xdr:colOff>441960</xdr:colOff>
      <xdr:row>16</xdr:row>
      <xdr:rowOff>121920</xdr:rowOff>
    </xdr:to>
    <xdr:sp macro="[0]!DoSolver" textlink="">
      <xdr:nvSpPr>
        <xdr:cNvPr id="4" name="Rectangle 3">
          <a:extLst>
            <a:ext uri="{FF2B5EF4-FFF2-40B4-BE49-F238E27FC236}">
              <a16:creationId xmlns:a16="http://schemas.microsoft.com/office/drawing/2014/main" id="{6606D3BA-6E79-4FE9-A89E-513E8834F36E}"/>
            </a:ext>
          </a:extLst>
        </xdr:cNvPr>
        <xdr:cNvSpPr/>
      </xdr:nvSpPr>
      <xdr:spPr>
        <a:xfrm>
          <a:off x="1074420" y="289560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Solve</a:t>
          </a:r>
          <a:r>
            <a:rPr lang="en-US" sz="1400" b="1" baseline="0">
              <a:solidFill>
                <a:schemeClr val="tx1"/>
              </a:solidFill>
            </a:rPr>
            <a:t> Assignment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522110</xdr:colOff>
      <xdr:row>0</xdr:row>
      <xdr:rowOff>35278</xdr:rowOff>
    </xdr:from>
    <xdr:to>
      <xdr:col>9</xdr:col>
      <xdr:colOff>921334</xdr:colOff>
      <xdr:row>0</xdr:row>
      <xdr:rowOff>520648</xdr:rowOff>
    </xdr:to>
    <xdr:pic macro="[0]!HomeScreen">
      <xdr:nvPicPr>
        <xdr:cNvPr id="3" name="Picture 2" descr="Amazon, buy, logo, online, shop icon - Free download">
          <a:extLst>
            <a:ext uri="{FF2B5EF4-FFF2-40B4-BE49-F238E27FC236}">
              <a16:creationId xmlns:a16="http://schemas.microsoft.com/office/drawing/2014/main" id="{446155F0-590B-6742-A0B5-FE27EA03F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58888" y="35278"/>
          <a:ext cx="484949" cy="485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571500</xdr:colOff>
      <xdr:row>9</xdr:row>
      <xdr:rowOff>106680</xdr:rowOff>
    </xdr:from>
    <xdr:to>
      <xdr:col>1</xdr:col>
      <xdr:colOff>1104900</xdr:colOff>
      <xdr:row>12</xdr:row>
      <xdr:rowOff>68580</xdr:rowOff>
    </xdr:to>
    <xdr:sp macro="[0]!NavButtonPage" textlink="">
      <xdr:nvSpPr>
        <xdr:cNvPr id="2" name="Rectangle 1">
          <a:extLst>
            <a:ext uri="{FF2B5EF4-FFF2-40B4-BE49-F238E27FC236}">
              <a16:creationId xmlns:a16="http://schemas.microsoft.com/office/drawing/2014/main" id="{139D8869-655E-4CA9-A65C-DC1622384E5D}"/>
            </a:ext>
          </a:extLst>
        </xdr:cNvPr>
        <xdr:cNvSpPr/>
      </xdr:nvSpPr>
      <xdr:spPr>
        <a:xfrm>
          <a:off x="571500" y="211074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Navigate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579120</xdr:colOff>
      <xdr:row>13</xdr:row>
      <xdr:rowOff>99060</xdr:rowOff>
    </xdr:from>
    <xdr:to>
      <xdr:col>1</xdr:col>
      <xdr:colOff>1112520</xdr:colOff>
      <xdr:row>16</xdr:row>
      <xdr:rowOff>60960</xdr:rowOff>
    </xdr:to>
    <xdr:sp macro="[0]!DoSolver" textlink="">
      <xdr:nvSpPr>
        <xdr:cNvPr id="4" name="Rectangle 3">
          <a:extLst>
            <a:ext uri="{FF2B5EF4-FFF2-40B4-BE49-F238E27FC236}">
              <a16:creationId xmlns:a16="http://schemas.microsoft.com/office/drawing/2014/main" id="{40EFE8DC-8192-450A-BC57-451BDE6041E5}"/>
            </a:ext>
          </a:extLst>
        </xdr:cNvPr>
        <xdr:cNvSpPr/>
      </xdr:nvSpPr>
      <xdr:spPr>
        <a:xfrm>
          <a:off x="579120" y="283464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Solve</a:t>
          </a:r>
          <a:r>
            <a:rPr lang="en-US" sz="1400" b="1" baseline="0">
              <a:solidFill>
                <a:schemeClr val="tx1"/>
              </a:solidFill>
            </a:rPr>
            <a:t> Assignment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500944</xdr:colOff>
      <xdr:row>0</xdr:row>
      <xdr:rowOff>42333</xdr:rowOff>
    </xdr:from>
    <xdr:to>
      <xdr:col>9</xdr:col>
      <xdr:colOff>919218</xdr:colOff>
      <xdr:row>0</xdr:row>
      <xdr:rowOff>527703</xdr:rowOff>
    </xdr:to>
    <xdr:pic macro="[0]!HomeScreen">
      <xdr:nvPicPr>
        <xdr:cNvPr id="3" name="Picture 2" descr="Amazon, buy, logo, online, shop icon - Free download">
          <a:extLst>
            <a:ext uri="{FF2B5EF4-FFF2-40B4-BE49-F238E27FC236}">
              <a16:creationId xmlns:a16="http://schemas.microsoft.com/office/drawing/2014/main" id="{FEB13A24-525D-1C4B-8B71-C1CA3A003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37722" y="42333"/>
          <a:ext cx="484949" cy="485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754380</xdr:colOff>
      <xdr:row>8</xdr:row>
      <xdr:rowOff>152400</xdr:rowOff>
    </xdr:from>
    <xdr:to>
      <xdr:col>2</xdr:col>
      <xdr:colOff>121920</xdr:colOff>
      <xdr:row>11</xdr:row>
      <xdr:rowOff>114300</xdr:rowOff>
    </xdr:to>
    <xdr:sp macro="[0]!NavButtonPage" textlink="">
      <xdr:nvSpPr>
        <xdr:cNvPr id="2" name="Rectangle 1">
          <a:extLst>
            <a:ext uri="{FF2B5EF4-FFF2-40B4-BE49-F238E27FC236}">
              <a16:creationId xmlns:a16="http://schemas.microsoft.com/office/drawing/2014/main" id="{6D8C06ED-05C3-425E-943E-E09A2BEDED45}"/>
            </a:ext>
          </a:extLst>
        </xdr:cNvPr>
        <xdr:cNvSpPr/>
      </xdr:nvSpPr>
      <xdr:spPr>
        <a:xfrm>
          <a:off x="754380" y="198882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Navigate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762000</xdr:colOff>
      <xdr:row>12</xdr:row>
      <xdr:rowOff>137160</xdr:rowOff>
    </xdr:from>
    <xdr:to>
      <xdr:col>2</xdr:col>
      <xdr:colOff>129540</xdr:colOff>
      <xdr:row>15</xdr:row>
      <xdr:rowOff>99060</xdr:rowOff>
    </xdr:to>
    <xdr:sp macro="[0]!DoSolver" textlink="">
      <xdr:nvSpPr>
        <xdr:cNvPr id="4" name="Rectangle 3">
          <a:extLst>
            <a:ext uri="{FF2B5EF4-FFF2-40B4-BE49-F238E27FC236}">
              <a16:creationId xmlns:a16="http://schemas.microsoft.com/office/drawing/2014/main" id="{5558C0F1-2BEE-49DD-A9B9-0143D7BED9D6}"/>
            </a:ext>
          </a:extLst>
        </xdr:cNvPr>
        <xdr:cNvSpPr/>
      </xdr:nvSpPr>
      <xdr:spPr>
        <a:xfrm>
          <a:off x="762000" y="270510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Solve</a:t>
          </a:r>
          <a:r>
            <a:rPr lang="en-US" sz="1400" b="1" baseline="0">
              <a:solidFill>
                <a:schemeClr val="tx1"/>
              </a:solidFill>
            </a:rPr>
            <a:t> Assignment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534459</xdr:colOff>
      <xdr:row>0</xdr:row>
      <xdr:rowOff>28223</xdr:rowOff>
    </xdr:from>
    <xdr:to>
      <xdr:col>10</xdr:col>
      <xdr:colOff>233</xdr:colOff>
      <xdr:row>0</xdr:row>
      <xdr:rowOff>513593</xdr:rowOff>
    </xdr:to>
    <xdr:pic macro="[0]!HomeScreen">
      <xdr:nvPicPr>
        <xdr:cNvPr id="3" name="Picture 2" descr="Amazon, buy, logo, online, shop icon - Free download">
          <a:extLst>
            <a:ext uri="{FF2B5EF4-FFF2-40B4-BE49-F238E27FC236}">
              <a16:creationId xmlns:a16="http://schemas.microsoft.com/office/drawing/2014/main" id="{C00CB83C-39DD-6645-9588-F380F1343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1237" y="28223"/>
          <a:ext cx="484949" cy="485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792480</xdr:colOff>
      <xdr:row>9</xdr:row>
      <xdr:rowOff>30480</xdr:rowOff>
    </xdr:from>
    <xdr:to>
      <xdr:col>2</xdr:col>
      <xdr:colOff>160020</xdr:colOff>
      <xdr:row>11</xdr:row>
      <xdr:rowOff>175260</xdr:rowOff>
    </xdr:to>
    <xdr:sp macro="[0]!NavButtonPage" textlink="">
      <xdr:nvSpPr>
        <xdr:cNvPr id="2" name="Rectangle 1">
          <a:extLst>
            <a:ext uri="{FF2B5EF4-FFF2-40B4-BE49-F238E27FC236}">
              <a16:creationId xmlns:a16="http://schemas.microsoft.com/office/drawing/2014/main" id="{DD9ABD16-8B67-450E-A63A-EDBB309F8F28}"/>
            </a:ext>
          </a:extLst>
        </xdr:cNvPr>
        <xdr:cNvSpPr/>
      </xdr:nvSpPr>
      <xdr:spPr>
        <a:xfrm>
          <a:off x="792480" y="202692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Navigate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800100</xdr:colOff>
      <xdr:row>13</xdr:row>
      <xdr:rowOff>0</xdr:rowOff>
    </xdr:from>
    <xdr:to>
      <xdr:col>2</xdr:col>
      <xdr:colOff>167640</xdr:colOff>
      <xdr:row>15</xdr:row>
      <xdr:rowOff>144780</xdr:rowOff>
    </xdr:to>
    <xdr:sp macro="[0]!DoSolver" textlink="">
      <xdr:nvSpPr>
        <xdr:cNvPr id="4" name="Rectangle 3">
          <a:extLst>
            <a:ext uri="{FF2B5EF4-FFF2-40B4-BE49-F238E27FC236}">
              <a16:creationId xmlns:a16="http://schemas.microsoft.com/office/drawing/2014/main" id="{2B8D3650-01C8-43FE-91C7-C97A831A1348}"/>
            </a:ext>
          </a:extLst>
        </xdr:cNvPr>
        <xdr:cNvSpPr/>
      </xdr:nvSpPr>
      <xdr:spPr>
        <a:xfrm>
          <a:off x="800100" y="2727960"/>
          <a:ext cx="1653540" cy="51054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Solve</a:t>
          </a:r>
          <a:r>
            <a:rPr lang="en-US" sz="1400" b="1" baseline="0">
              <a:solidFill>
                <a:schemeClr val="tx1"/>
              </a:solidFill>
            </a:rPr>
            <a:t> Assignment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2-BIT-Teaching\BIT3424\Summer19\HW3-st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ation"/>
      <sheetName val="P9"/>
      <sheetName val="P10"/>
      <sheetName val="P11"/>
      <sheetName val="P12"/>
    </sheetNames>
    <sheetDataSet>
      <sheetData sheetId="0"/>
      <sheetData sheetId="1"/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n, Cynthia" refreshedDate="45263.846472800928" createdVersion="8" refreshedVersion="8" minRefreshableVersion="3" recordCount="5" xr:uid="{F42B2216-9380-43B9-A37D-0F6CA036FAE1}">
  <cacheSource type="worksheet">
    <worksheetSource ref="A5:F10" sheet="Investment"/>
  </cacheSource>
  <cacheFields count="6">
    <cacheField name="Options" numFmtId="0">
      <sharedItems count="6">
        <s v="Electronics"/>
        <s v="Clothing"/>
        <s v="Medical"/>
        <s v="Furniture"/>
        <s v="Media"/>
        <s v="Television/Movies" u="1"/>
      </sharedItems>
    </cacheField>
    <cacheField name="Selected" numFmtId="0">
      <sharedItems containsSemiMixedTypes="0" containsString="0" containsNumber="1" containsInteger="1" minValue="0" maxValue="1"/>
    </cacheField>
    <cacheField name="Allocation" numFmtId="164">
      <sharedItems containsSemiMixedTypes="0" containsString="0" containsNumber="1" containsInteger="1" minValue="5000" maxValue="15000"/>
    </cacheField>
    <cacheField name="Investment" numFmtId="164">
      <sharedItems containsSemiMixedTypes="0" containsString="0" containsNumber="1" containsInteger="1" minValue="0" maxValue="15000"/>
    </cacheField>
    <cacheField name="Return Rate" numFmtId="9">
      <sharedItems containsSemiMixedTypes="0" containsString="0" containsNumber="1" minValue="0.34249197009020893" maxValue="0.80467359810974259"/>
    </cacheField>
    <cacheField name="Risk Rate" numFmtId="10">
      <sharedItems containsSemiMixedTypes="0" containsString="0" containsNumber="1" minValue="0.12084909084595558" maxValue="0.57347373921633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0"/>
    <n v="5000"/>
    <n v="0"/>
    <n v="0.76336134901735619"/>
    <n v="0.5734737392163366"/>
  </r>
  <r>
    <x v="1"/>
    <n v="1"/>
    <n v="15000"/>
    <n v="15000"/>
    <n v="0.80467359810974259"/>
    <n v="0.32691442123338293"/>
  </r>
  <r>
    <x v="2"/>
    <n v="1"/>
    <n v="15000"/>
    <n v="15000"/>
    <n v="0.34249197009020893"/>
    <n v="0.12084909084595558"/>
  </r>
  <r>
    <x v="3"/>
    <n v="0"/>
    <n v="5000"/>
    <n v="0"/>
    <n v="0.3853864346404724"/>
    <n v="0.3529662340504226"/>
  </r>
  <r>
    <x v="4"/>
    <n v="0"/>
    <n v="5000"/>
    <n v="0"/>
    <n v="0.54467695586716058"/>
    <n v="0.39617873049976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7F796B-1682-4E89-ACF7-DF3E7AD57F2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C24:D30" firstHeaderRow="1" firstDataRow="1" firstDataCol="1"/>
  <pivotFields count="6">
    <pivotField axis="axisRow" showAll="0">
      <items count="7">
        <item x="1"/>
        <item x="0"/>
        <item x="3"/>
        <item x="2"/>
        <item n="Media" m="1" x="5"/>
        <item n="Media2" x="4"/>
        <item t="default"/>
      </items>
    </pivotField>
    <pivotField showAll="0"/>
    <pivotField numFmtId="164" showAll="0"/>
    <pivotField dataField="1" numFmtId="164" showAll="0"/>
    <pivotField numFmtId="9"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Investment" fld="3" baseField="0" baseItem="0"/>
  </dataFields>
  <chartFormats count="1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2C01-F476-4F90-AB27-A2EE1DA8D16D}">
  <sheetPr codeName="Sheet1"/>
  <dimension ref="B1:N4"/>
  <sheetViews>
    <sheetView tabSelected="1" workbookViewId="0">
      <selection activeCell="Q7" sqref="Q7"/>
    </sheetView>
  </sheetViews>
  <sheetFormatPr defaultColWidth="8.796875" defaultRowHeight="14.25" x14ac:dyDescent="0.45"/>
  <cols>
    <col min="1" max="16384" width="8.796875" style="33"/>
  </cols>
  <sheetData>
    <row r="1" spans="2:14" x14ac:dyDescent="0.45">
      <c r="B1" s="41" t="s">
        <v>0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2:14" x14ac:dyDescent="0.45"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</row>
    <row r="3" spans="2:14" x14ac:dyDescent="0.45">
      <c r="B3" s="39" t="s">
        <v>1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</row>
    <row r="4" spans="2:14" x14ac:dyDescent="0.45"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</row>
  </sheetData>
  <mergeCells count="2">
    <mergeCell ref="B3:N4"/>
    <mergeCell ref="B1:N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1EC7B-88DA-45A6-99D6-79010E797F69}">
  <sheetPr codeName="Sheet2"/>
  <dimension ref="A1:J30"/>
  <sheetViews>
    <sheetView zoomScaleNormal="100" workbookViewId="0">
      <selection activeCell="G14" sqref="G14"/>
    </sheetView>
  </sheetViews>
  <sheetFormatPr defaultColWidth="8.796875" defaultRowHeight="14.25" x14ac:dyDescent="0.45"/>
  <cols>
    <col min="1" max="1" width="11.1328125" bestFit="1" customWidth="1"/>
    <col min="3" max="3" width="12.1328125" bestFit="1" customWidth="1"/>
    <col min="4" max="4" width="15.46484375" bestFit="1" customWidth="1"/>
    <col min="6" max="6" width="10" bestFit="1" customWidth="1"/>
    <col min="7" max="7" width="12.6640625" bestFit="1" customWidth="1"/>
    <col min="8" max="8" width="16.46484375" bestFit="1" customWidth="1"/>
  </cols>
  <sheetData>
    <row r="1" spans="1:10" x14ac:dyDescent="0.45">
      <c r="A1" t="s">
        <v>2</v>
      </c>
      <c r="B1" t="s">
        <v>3</v>
      </c>
      <c r="C1" t="s">
        <v>4</v>
      </c>
      <c r="D1" t="s">
        <v>5</v>
      </c>
      <c r="G1" s="10" t="s">
        <v>6</v>
      </c>
      <c r="H1" t="s">
        <v>7</v>
      </c>
      <c r="J1" s="10"/>
    </row>
    <row r="2" spans="1:10" x14ac:dyDescent="0.45">
      <c r="A2" t="s">
        <v>8</v>
      </c>
      <c r="B2">
        <v>111</v>
      </c>
      <c r="C2" t="s">
        <v>9</v>
      </c>
      <c r="D2" t="s">
        <v>10</v>
      </c>
      <c r="G2" t="s">
        <v>11</v>
      </c>
      <c r="H2" t="s">
        <v>12</v>
      </c>
    </row>
    <row r="3" spans="1:10" x14ac:dyDescent="0.45">
      <c r="A3" t="s">
        <v>13</v>
      </c>
      <c r="B3">
        <v>222</v>
      </c>
      <c r="C3" t="s">
        <v>14</v>
      </c>
      <c r="D3" t="s">
        <v>10</v>
      </c>
      <c r="G3" t="s">
        <v>15</v>
      </c>
      <c r="H3" t="s">
        <v>16</v>
      </c>
    </row>
    <row r="4" spans="1:10" x14ac:dyDescent="0.45">
      <c r="A4" t="s">
        <v>17</v>
      </c>
      <c r="B4">
        <v>333</v>
      </c>
      <c r="C4" t="s">
        <v>18</v>
      </c>
      <c r="D4" t="s">
        <v>10</v>
      </c>
      <c r="G4" t="s">
        <v>19</v>
      </c>
      <c r="H4" t="s">
        <v>20</v>
      </c>
    </row>
    <row r="5" spans="1:10" x14ac:dyDescent="0.45">
      <c r="A5" t="s">
        <v>21</v>
      </c>
      <c r="B5">
        <v>444</v>
      </c>
      <c r="C5" t="s">
        <v>22</v>
      </c>
      <c r="D5" t="s">
        <v>10</v>
      </c>
      <c r="G5" t="s">
        <v>23</v>
      </c>
      <c r="H5" t="s">
        <v>24</v>
      </c>
    </row>
    <row r="6" spans="1:10" x14ac:dyDescent="0.45">
      <c r="A6" t="s">
        <v>25</v>
      </c>
      <c r="B6">
        <v>555</v>
      </c>
      <c r="C6" t="s">
        <v>26</v>
      </c>
      <c r="D6" t="s">
        <v>27</v>
      </c>
      <c r="G6" t="s">
        <v>28</v>
      </c>
      <c r="H6" t="s">
        <v>29</v>
      </c>
    </row>
    <row r="7" spans="1:10" x14ac:dyDescent="0.45">
      <c r="A7" t="s">
        <v>30</v>
      </c>
      <c r="B7">
        <v>666</v>
      </c>
      <c r="C7" t="s">
        <v>31</v>
      </c>
      <c r="D7" t="s">
        <v>27</v>
      </c>
      <c r="H7" t="s">
        <v>32</v>
      </c>
    </row>
    <row r="8" spans="1:10" x14ac:dyDescent="0.45">
      <c r="A8" t="s">
        <v>33</v>
      </c>
      <c r="B8">
        <v>777</v>
      </c>
      <c r="C8" t="s">
        <v>34</v>
      </c>
      <c r="D8" t="s">
        <v>27</v>
      </c>
      <c r="H8" t="s">
        <v>35</v>
      </c>
    </row>
    <row r="9" spans="1:10" x14ac:dyDescent="0.45">
      <c r="H9" t="s">
        <v>36</v>
      </c>
    </row>
    <row r="10" spans="1:10" x14ac:dyDescent="0.45">
      <c r="H10" t="s">
        <v>37</v>
      </c>
    </row>
    <row r="11" spans="1:10" x14ac:dyDescent="0.45">
      <c r="H11" t="s">
        <v>38</v>
      </c>
    </row>
    <row r="12" spans="1:10" x14ac:dyDescent="0.45">
      <c r="H12" t="s">
        <v>39</v>
      </c>
    </row>
    <row r="13" spans="1:10" x14ac:dyDescent="0.45">
      <c r="H13" t="s">
        <v>40</v>
      </c>
    </row>
    <row r="14" spans="1:10" x14ac:dyDescent="0.45">
      <c r="H14" t="s">
        <v>41</v>
      </c>
    </row>
    <row r="15" spans="1:10" x14ac:dyDescent="0.45">
      <c r="H15" t="s">
        <v>42</v>
      </c>
    </row>
    <row r="16" spans="1:10" x14ac:dyDescent="0.45">
      <c r="H16" t="s">
        <v>43</v>
      </c>
    </row>
    <row r="24" spans="3:4" x14ac:dyDescent="0.45">
      <c r="C24" s="35" t="s">
        <v>44</v>
      </c>
      <c r="D24" t="s">
        <v>45</v>
      </c>
    </row>
    <row r="25" spans="3:4" x14ac:dyDescent="0.45">
      <c r="C25" s="36" t="s">
        <v>15</v>
      </c>
      <c r="D25">
        <v>15000</v>
      </c>
    </row>
    <row r="26" spans="3:4" x14ac:dyDescent="0.45">
      <c r="C26" s="36" t="s">
        <v>11</v>
      </c>
      <c r="D26">
        <v>0</v>
      </c>
    </row>
    <row r="27" spans="3:4" x14ac:dyDescent="0.45">
      <c r="C27" s="36" t="s">
        <v>23</v>
      </c>
      <c r="D27">
        <v>0</v>
      </c>
    </row>
    <row r="28" spans="3:4" x14ac:dyDescent="0.45">
      <c r="C28" s="36" t="s">
        <v>19</v>
      </c>
      <c r="D28">
        <v>15000</v>
      </c>
    </row>
    <row r="29" spans="3:4" x14ac:dyDescent="0.45">
      <c r="C29" s="36" t="s">
        <v>46</v>
      </c>
      <c r="D29">
        <v>0</v>
      </c>
    </row>
    <row r="30" spans="3:4" x14ac:dyDescent="0.45">
      <c r="C30" s="36" t="s">
        <v>47</v>
      </c>
      <c r="D30">
        <v>30000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31"/>
  <sheetViews>
    <sheetView zoomScale="134" zoomScaleNormal="100" workbookViewId="0">
      <selection activeCell="A6" sqref="A6:F10"/>
    </sheetView>
  </sheetViews>
  <sheetFormatPr defaultColWidth="4.46484375" defaultRowHeight="14.25" x14ac:dyDescent="0.45"/>
  <cols>
    <col min="1" max="1" width="16.33203125" style="11" bestFit="1" customWidth="1"/>
    <col min="2" max="2" width="15.46484375" style="11" customWidth="1"/>
    <col min="3" max="3" width="23.796875" style="11" customWidth="1"/>
    <col min="4" max="4" width="20.46484375" style="11" customWidth="1"/>
    <col min="5" max="5" width="17.33203125" style="11" customWidth="1"/>
    <col min="6" max="6" width="27" style="11" customWidth="1"/>
    <col min="7" max="26" width="8.6640625" style="11" customWidth="1"/>
    <col min="27" max="16384" width="4.46484375" style="11"/>
  </cols>
  <sheetData>
    <row r="1" spans="1:9" ht="41" customHeight="1" thickBot="1" x14ac:dyDescent="0.6">
      <c r="A1" s="43" t="s">
        <v>48</v>
      </c>
      <c r="B1" s="44"/>
      <c r="C1" s="44"/>
      <c r="D1" s="44"/>
      <c r="E1" s="44"/>
      <c r="F1" s="44"/>
    </row>
    <row r="2" spans="1:9" ht="14.65" thickBot="1" x14ac:dyDescent="0.5">
      <c r="A2" s="45" t="s">
        <v>49</v>
      </c>
      <c r="B2" s="46"/>
      <c r="C2" s="46"/>
      <c r="D2" s="46"/>
      <c r="E2" s="46"/>
      <c r="F2" s="47"/>
    </row>
    <row r="3" spans="1:9" hidden="1" x14ac:dyDescent="0.45"/>
    <row r="4" spans="1:9" hidden="1" x14ac:dyDescent="0.45"/>
    <row r="5" spans="1:9" x14ac:dyDescent="0.45">
      <c r="A5" s="2" t="s">
        <v>50</v>
      </c>
      <c r="B5" s="2" t="s">
        <v>51</v>
      </c>
      <c r="C5" s="2" t="s">
        <v>52</v>
      </c>
      <c r="D5" s="2" t="s">
        <v>53</v>
      </c>
      <c r="E5" s="2" t="s">
        <v>54</v>
      </c>
      <c r="F5" s="2" t="s">
        <v>55</v>
      </c>
    </row>
    <row r="6" spans="1:9" x14ac:dyDescent="0.45">
      <c r="A6" s="8" t="s">
        <v>11</v>
      </c>
      <c r="B6" s="5">
        <v>0</v>
      </c>
      <c r="C6" s="7">
        <v>5000</v>
      </c>
      <c r="D6" s="12">
        <f>Selected*Allocation</f>
        <v>0</v>
      </c>
      <c r="E6" s="15">
        <v>0.76336134901735619</v>
      </c>
      <c r="F6" s="16">
        <v>0.5734737392163366</v>
      </c>
      <c r="I6" s="21" t="s">
        <v>56</v>
      </c>
    </row>
    <row r="7" spans="1:9" x14ac:dyDescent="0.45">
      <c r="A7" s="8" t="s">
        <v>15</v>
      </c>
      <c r="B7" s="5">
        <v>1</v>
      </c>
      <c r="C7" s="7">
        <v>15000</v>
      </c>
      <c r="D7" s="12">
        <f>Selected*Allocation</f>
        <v>15000</v>
      </c>
      <c r="E7" s="15">
        <v>0.80467359810974259</v>
      </c>
      <c r="F7" s="16">
        <v>0.32691442123338293</v>
      </c>
      <c r="I7" s="11" t="s">
        <v>57</v>
      </c>
    </row>
    <row r="8" spans="1:9" x14ac:dyDescent="0.45">
      <c r="A8" s="8" t="s">
        <v>19</v>
      </c>
      <c r="B8" s="5">
        <v>1</v>
      </c>
      <c r="C8" s="7">
        <v>15000</v>
      </c>
      <c r="D8" s="12">
        <f>Selected*Allocation</f>
        <v>15000</v>
      </c>
      <c r="E8" s="15">
        <v>0.34249197009020893</v>
      </c>
      <c r="F8" s="16">
        <v>0.12084909084595558</v>
      </c>
      <c r="I8" s="11" t="s">
        <v>58</v>
      </c>
    </row>
    <row r="9" spans="1:9" x14ac:dyDescent="0.45">
      <c r="A9" s="8" t="s">
        <v>23</v>
      </c>
      <c r="B9" s="5">
        <v>0</v>
      </c>
      <c r="C9" s="7">
        <v>5000</v>
      </c>
      <c r="D9" s="12">
        <f>Selected*Allocation</f>
        <v>0</v>
      </c>
      <c r="E9" s="15">
        <v>0.3853864346404724</v>
      </c>
      <c r="F9" s="16">
        <v>0.3529662340504226</v>
      </c>
      <c r="I9" s="11" t="s">
        <v>59</v>
      </c>
    </row>
    <row r="10" spans="1:9" x14ac:dyDescent="0.45">
      <c r="A10" s="8" t="s">
        <v>60</v>
      </c>
      <c r="B10" s="5">
        <v>0</v>
      </c>
      <c r="C10" s="7">
        <v>5000</v>
      </c>
      <c r="D10" s="12">
        <f>Selected*Allocation</f>
        <v>0</v>
      </c>
      <c r="E10" s="15">
        <v>0.54467695586716058</v>
      </c>
      <c r="F10" s="16">
        <v>0.3961787304997621</v>
      </c>
      <c r="I10" s="11" t="s">
        <v>61</v>
      </c>
    </row>
    <row r="11" spans="1:9" x14ac:dyDescent="0.45">
      <c r="C11" s="17"/>
      <c r="D11" s="17"/>
      <c r="I11" s="11" t="s">
        <v>62</v>
      </c>
    </row>
    <row r="12" spans="1:9" x14ac:dyDescent="0.45">
      <c r="B12" s="2" t="s">
        <v>63</v>
      </c>
      <c r="C12" s="2" t="s">
        <v>58</v>
      </c>
      <c r="D12" s="2" t="s">
        <v>64</v>
      </c>
      <c r="F12" s="6" t="s">
        <v>65</v>
      </c>
      <c r="I12" s="11" t="s">
        <v>66</v>
      </c>
    </row>
    <row r="13" spans="1:9" x14ac:dyDescent="0.45">
      <c r="B13" s="13">
        <f>SUM(Selected)</f>
        <v>2</v>
      </c>
      <c r="C13" s="12">
        <v>5000</v>
      </c>
      <c r="D13" s="12">
        <f>SUM(Investment)</f>
        <v>30000</v>
      </c>
      <c r="F13" s="7">
        <f>SUMPRODUCT(Return_Rate,Investment)</f>
        <v>17207.483522999271</v>
      </c>
    </row>
    <row r="14" spans="1:9" x14ac:dyDescent="0.45">
      <c r="B14" s="2" t="s">
        <v>57</v>
      </c>
      <c r="C14" s="2" t="s">
        <v>59</v>
      </c>
      <c r="D14" s="2" t="s">
        <v>61</v>
      </c>
      <c r="F14" s="6" t="s">
        <v>67</v>
      </c>
    </row>
    <row r="15" spans="1:9" x14ac:dyDescent="0.45">
      <c r="B15" s="13">
        <v>1</v>
      </c>
      <c r="C15" s="12">
        <v>15000</v>
      </c>
      <c r="D15" s="12">
        <v>30000</v>
      </c>
      <c r="F15" s="7">
        <f>SUMPRODUCT(Risk_Rate,Investment)</f>
        <v>6716.4526811900778</v>
      </c>
    </row>
    <row r="16" spans="1:9" x14ac:dyDescent="0.45">
      <c r="F16" s="6" t="s">
        <v>68</v>
      </c>
    </row>
    <row r="17" spans="1:6" x14ac:dyDescent="0.45">
      <c r="F17" s="7">
        <f>Expected_Returns-Expected_Risk</f>
        <v>10491.030841809194</v>
      </c>
    </row>
    <row r="19" spans="1:6" x14ac:dyDescent="0.45">
      <c r="B19" s="2" t="s">
        <v>69</v>
      </c>
      <c r="C19" s="9" t="s">
        <v>70</v>
      </c>
      <c r="D19" s="9" t="s">
        <v>71</v>
      </c>
    </row>
    <row r="20" spans="1:6" x14ac:dyDescent="0.45">
      <c r="B20" s="20" t="s">
        <v>68</v>
      </c>
      <c r="C20" s="7">
        <v>6469.52</v>
      </c>
      <c r="D20" s="7">
        <v>4401.6000000000004</v>
      </c>
    </row>
    <row r="22" spans="1:6" x14ac:dyDescent="0.45">
      <c r="A22" s="18"/>
    </row>
    <row r="23" spans="1:6" x14ac:dyDescent="0.45">
      <c r="A23" s="18"/>
    </row>
    <row r="24" spans="1:6" x14ac:dyDescent="0.45">
      <c r="A24" s="18"/>
    </row>
    <row r="25" spans="1:6" x14ac:dyDescent="0.45">
      <c r="A25" s="18"/>
    </row>
    <row r="26" spans="1:6" x14ac:dyDescent="0.45">
      <c r="A26" s="18"/>
    </row>
    <row r="27" spans="1:6" x14ac:dyDescent="0.45">
      <c r="A27" s="18"/>
    </row>
    <row r="28" spans="1:6" x14ac:dyDescent="0.45">
      <c r="A28" s="18"/>
    </row>
    <row r="29" spans="1:6" x14ac:dyDescent="0.45">
      <c r="A29" s="18"/>
    </row>
    <row r="31" spans="1:6" x14ac:dyDescent="0.45">
      <c r="A31" s="19"/>
    </row>
  </sheetData>
  <mergeCells count="2">
    <mergeCell ref="A1:F1"/>
    <mergeCell ref="A2:F2"/>
  </mergeCells>
  <conditionalFormatting sqref="A6:F10">
    <cfRule type="expression" dxfId="0" priority="1">
      <formula>$B6=1</formula>
    </cfRule>
  </conditionalFormatting>
  <dataValidations count="14">
    <dataValidation type="whole" allowBlank="1" showInputMessage="1" showErrorMessage="1" errorTitle="ERROR" error="Not a valid number " promptTitle="Min to Select" prompt="Input how many departments you would like to invest in" sqref="B15" xr:uid="{3479B5FD-58AA-42F3-AC3D-C6884E4377AD}">
      <formula1>1</formula1>
      <formula2>5</formula2>
    </dataValidation>
    <dataValidation allowBlank="1" showInputMessage="1" showErrorMessage="1" errorTitle="ERROR" error="The amount you've entered in invalid" promptTitle="Minimum Allocation" prompt="Input the minimum amount to allocate to each selected department" sqref="C13" xr:uid="{52DD3BB5-76CA-4F10-BEB0-B28E3BAB18B6}"/>
    <dataValidation allowBlank="1" showInputMessage="1" showErrorMessage="1" promptTitle="Maximum Allocation" prompt="Input the maximum amount to allocate to selected departments" sqref="C15" xr:uid="{8A9E33FE-34B5-459D-A7B1-A6ED0C8F8B83}"/>
    <dataValidation allowBlank="1" showInputMessage="1" showErrorMessage="1" promptTitle="Available Funds" prompt="Input the amount of funds you have available to invest" sqref="D15" xr:uid="{DCAA7713-2E85-4928-9A6A-F3C94E59492C}"/>
    <dataValidation allowBlank="1" showInputMessage="1" showErrorMessage="1" promptTitle="Return Rate - Electronics" prompt="Input the return rate for the Electronics department" sqref="E6" xr:uid="{43FFDED6-36D8-4AEF-A463-FB0862060192}"/>
    <dataValidation allowBlank="1" showInputMessage="1" showErrorMessage="1" promptTitle="Return Rate - Clothing" prompt="Input the return rate for the clothing department" sqref="E7" xr:uid="{EF62428C-C202-4AA6-B940-F8C33DEC84DD}"/>
    <dataValidation allowBlank="1" showInputMessage="1" showErrorMessage="1" promptTitle="Return Rate - Medical" prompt="Input the return rate for the medical department " sqref="E8" xr:uid="{D28D8CB4-A923-465C-BD38-59F807D34B9C}"/>
    <dataValidation allowBlank="1" showInputMessage="1" showErrorMessage="1" promptTitle="Return Rate - Furniture" prompt="Enter the return rate for the furniture department" sqref="E9" xr:uid="{52ABF8C4-B383-486D-8389-140447933C93}"/>
    <dataValidation allowBlank="1" showInputMessage="1" showErrorMessage="1" promptTitle="Return Rate - Television/Movies" prompt="Enter the return rate for the television/movies department" sqref="E10" xr:uid="{6D427535-B73F-4635-80F0-97C4E9B6D22C}"/>
    <dataValidation allowBlank="1" showInputMessage="1" showErrorMessage="1" promptTitle="Risk Rate - Electronics" prompt="Enter the risk rate for the electronics department" sqref="F6" xr:uid="{74700641-1C0F-4B4A-8A29-9F6600E25B77}"/>
    <dataValidation allowBlank="1" showInputMessage="1" showErrorMessage="1" promptTitle="Risk Rate - Clothing" prompt="Enter the risk rate for the clothing department" sqref="F7" xr:uid="{37299C3B-1498-4E7E-AA8F-461BB9A752D9}"/>
    <dataValidation allowBlank="1" showInputMessage="1" showErrorMessage="1" promptTitle="Risk Rate - Medical" prompt="Enter the risk rate for the medical department" sqref="F8" xr:uid="{E741A3DF-51A3-4AAE-B8CE-522AA782B9CD}"/>
    <dataValidation allowBlank="1" showInputMessage="1" showErrorMessage="1" promptTitle="Risk Rate - Furniture" prompt="Enter the risk rate for the furniture department " sqref="F9" xr:uid="{7C36BE84-1D57-47E3-A727-38EA5AA52290}"/>
    <dataValidation allowBlank="1" showInputMessage="1" showErrorMessage="1" promptTitle="Risk Rate - Television/Movies" prompt="Enter the risk rate for the television/movies department" sqref="F10" xr:uid="{8F234212-02C1-4C95-91DD-96E25FBD06DE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R10"/>
  <sheetViews>
    <sheetView zoomScale="118" zoomScaleNormal="100" workbookViewId="0">
      <selection activeCell="R37" sqref="R37"/>
    </sheetView>
  </sheetViews>
  <sheetFormatPr defaultColWidth="4" defaultRowHeight="14.25" x14ac:dyDescent="0.45"/>
  <cols>
    <col min="1" max="1" width="19.46484375" style="11" bestFit="1" customWidth="1"/>
    <col min="2" max="2" width="9" style="11" bestFit="1" customWidth="1"/>
    <col min="3" max="3" width="3.33203125" style="11" customWidth="1"/>
    <col min="4" max="4" width="19.46484375" style="11" bestFit="1" customWidth="1"/>
    <col min="5" max="5" width="9" style="11" bestFit="1" customWidth="1"/>
    <col min="6" max="6" width="4.1328125" style="11" customWidth="1"/>
    <col min="7" max="7" width="19.46484375" style="11" bestFit="1" customWidth="1"/>
    <col min="8" max="8" width="9" style="11" bestFit="1" customWidth="1"/>
    <col min="9" max="9" width="4.796875" style="11" customWidth="1"/>
    <col min="10" max="10" width="19.46484375" style="11" bestFit="1" customWidth="1"/>
    <col min="11" max="11" width="9" style="11" bestFit="1" customWidth="1"/>
    <col min="12" max="12" width="4.796875" style="11" customWidth="1"/>
    <col min="13" max="13" width="19.46484375" style="11" bestFit="1" customWidth="1"/>
    <col min="14" max="14" width="9" style="11" customWidth="1"/>
    <col min="15" max="15" width="4" style="11"/>
    <col min="16" max="16" width="10.46484375" style="11" customWidth="1"/>
    <col min="17" max="17" width="15.33203125" style="11" bestFit="1" customWidth="1"/>
    <col min="18" max="18" width="11" style="11" customWidth="1"/>
    <col min="19" max="16384" width="4" style="11"/>
  </cols>
  <sheetData>
    <row r="1" spans="1:18" ht="43.05" customHeight="1" x14ac:dyDescent="0.9">
      <c r="A1" s="48" t="s">
        <v>72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</row>
    <row r="2" spans="1:18" x14ac:dyDescent="0.45">
      <c r="A2" s="52" t="s">
        <v>73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</row>
    <row r="3" spans="1:18" x14ac:dyDescent="0.45">
      <c r="A3" s="50" t="s">
        <v>11</v>
      </c>
      <c r="B3" s="51"/>
      <c r="D3" s="50" t="s">
        <v>15</v>
      </c>
      <c r="E3" s="51"/>
      <c r="G3" s="50" t="s">
        <v>19</v>
      </c>
      <c r="H3" s="51"/>
      <c r="J3" s="50" t="s">
        <v>74</v>
      </c>
      <c r="K3" s="51"/>
      <c r="M3" s="50" t="s">
        <v>75</v>
      </c>
      <c r="N3" s="51"/>
      <c r="P3" s="2" t="s">
        <v>76</v>
      </c>
      <c r="Q3" s="1" t="s">
        <v>61</v>
      </c>
      <c r="R3" s="2" t="s">
        <v>77</v>
      </c>
    </row>
    <row r="4" spans="1:18" x14ac:dyDescent="0.45">
      <c r="A4" s="24" t="s">
        <v>77</v>
      </c>
      <c r="B4" s="37">
        <f>Electronics!J10-Electronics!H13</f>
        <v>205.38162243669842</v>
      </c>
      <c r="C4" s="26"/>
      <c r="D4" s="24" t="s">
        <v>77</v>
      </c>
      <c r="E4" s="37">
        <f>Clothing!J10-Clothing!H13</f>
        <v>110.35162243669839</v>
      </c>
      <c r="G4" s="24" t="s">
        <v>77</v>
      </c>
      <c r="H4" s="37">
        <f>Medical!J10-Medical!H13</f>
        <v>110.35162243669839</v>
      </c>
      <c r="J4" s="24" t="s">
        <v>77</v>
      </c>
      <c r="K4" s="37">
        <f>Furniture!J10-Furniture!H13</f>
        <v>110.35162243669839</v>
      </c>
      <c r="M4" s="24" t="s">
        <v>77</v>
      </c>
      <c r="N4" s="37">
        <f>Media!J10-Media!H13</f>
        <v>110.35162243669839</v>
      </c>
      <c r="P4" s="7">
        <f>SUM(B5,E5,H5,K5,N5)</f>
        <v>2378.42</v>
      </c>
      <c r="Q4" s="7">
        <f>AvailFund</f>
        <v>30000</v>
      </c>
      <c r="R4" s="7">
        <f>SUM(B4,E4,H4,K4,N4)</f>
        <v>646.78811218349188</v>
      </c>
    </row>
    <row r="5" spans="1:18" x14ac:dyDescent="0.45">
      <c r="A5" s="25" t="s">
        <v>76</v>
      </c>
      <c r="B5" s="37">
        <f>Electronics!H13</f>
        <v>399.65999999999997</v>
      </c>
      <c r="C5" s="22"/>
      <c r="D5" s="25" t="s">
        <v>76</v>
      </c>
      <c r="E5" s="37">
        <f>Clothing!H13</f>
        <v>494.69</v>
      </c>
      <c r="G5" s="25" t="s">
        <v>76</v>
      </c>
      <c r="H5" s="38">
        <f>Medical!H13</f>
        <v>494.69</v>
      </c>
      <c r="J5" s="25" t="s">
        <v>76</v>
      </c>
      <c r="K5" s="37">
        <f>Furniture!H13</f>
        <v>494.69</v>
      </c>
      <c r="M5" s="25" t="s">
        <v>76</v>
      </c>
      <c r="N5" s="37">
        <f>Media!H13</f>
        <v>494.69</v>
      </c>
    </row>
    <row r="6" spans="1:18" x14ac:dyDescent="0.45">
      <c r="A6" s="24" t="s">
        <v>61</v>
      </c>
      <c r="B6" s="37">
        <f>Electronics!I13</f>
        <v>500</v>
      </c>
      <c r="D6" s="24" t="s">
        <v>61</v>
      </c>
      <c r="E6" s="37">
        <v>500</v>
      </c>
      <c r="G6" s="27" t="s">
        <v>61</v>
      </c>
      <c r="H6" s="37">
        <f>Medical!I13</f>
        <v>500</v>
      </c>
      <c r="J6" s="24" t="s">
        <v>61</v>
      </c>
      <c r="K6" s="37">
        <f>Furniture!I13</f>
        <v>500</v>
      </c>
      <c r="M6" s="24" t="s">
        <v>61</v>
      </c>
      <c r="N6" s="37">
        <f>Media!I13</f>
        <v>500</v>
      </c>
    </row>
    <row r="8" spans="1:18" x14ac:dyDescent="0.45">
      <c r="A8" s="27" t="s">
        <v>78</v>
      </c>
      <c r="B8" s="28"/>
      <c r="D8" s="27" t="s">
        <v>78</v>
      </c>
      <c r="E8" s="28"/>
      <c r="G8" s="27" t="s">
        <v>78</v>
      </c>
      <c r="H8" s="28"/>
      <c r="J8" s="27" t="s">
        <v>78</v>
      </c>
      <c r="K8" s="28"/>
      <c r="M8" s="27" t="s">
        <v>78</v>
      </c>
      <c r="N8" s="28"/>
    </row>
    <row r="9" spans="1:18" x14ac:dyDescent="0.45">
      <c r="A9" s="30" t="s">
        <v>79</v>
      </c>
      <c r="B9" s="29">
        <f>Electronics!I17</f>
        <v>70</v>
      </c>
      <c r="C9" s="23"/>
      <c r="D9" s="32" t="s">
        <v>80</v>
      </c>
      <c r="E9" s="29">
        <f>Clothing!I17</f>
        <v>71</v>
      </c>
      <c r="G9" s="32" t="s">
        <v>80</v>
      </c>
      <c r="H9" s="29">
        <f>Medical!I17</f>
        <v>71</v>
      </c>
      <c r="J9" s="32" t="s">
        <v>80</v>
      </c>
      <c r="K9" s="29">
        <f>Furniture!I17</f>
        <v>71</v>
      </c>
      <c r="M9" s="32" t="s">
        <v>80</v>
      </c>
      <c r="N9" s="29">
        <f>Media!I17</f>
        <v>71</v>
      </c>
    </row>
    <row r="10" spans="1:18" x14ac:dyDescent="0.45">
      <c r="A10" s="31" t="s">
        <v>81</v>
      </c>
      <c r="B10" s="29">
        <f>Electronics!J17</f>
        <v>29</v>
      </c>
      <c r="C10" s="23"/>
      <c r="D10" s="31" t="s">
        <v>81</v>
      </c>
      <c r="E10" s="29">
        <f>Clothing!J17</f>
        <v>29</v>
      </c>
      <c r="G10" s="31" t="s">
        <v>81</v>
      </c>
      <c r="H10" s="29">
        <f>Medical!J17</f>
        <v>29</v>
      </c>
      <c r="J10" s="31" t="s">
        <v>81</v>
      </c>
      <c r="K10" s="29">
        <f>Furniture!J17</f>
        <v>29</v>
      </c>
      <c r="M10" s="31" t="s">
        <v>81</v>
      </c>
      <c r="N10" s="29">
        <f>Media!J17</f>
        <v>29</v>
      </c>
    </row>
  </sheetData>
  <mergeCells count="7">
    <mergeCell ref="A1:N1"/>
    <mergeCell ref="A3:B3"/>
    <mergeCell ref="D3:E3"/>
    <mergeCell ref="G3:H3"/>
    <mergeCell ref="J3:K3"/>
    <mergeCell ref="M3:N3"/>
    <mergeCell ref="A2:N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1B777-6EF1-455A-9E92-4898711FD88A}">
  <sheetPr codeName="Sheet4"/>
  <dimension ref="A1:J17"/>
  <sheetViews>
    <sheetView zoomScale="125" zoomScaleNormal="100" workbookViewId="0">
      <selection activeCell="D19" sqref="D19"/>
    </sheetView>
  </sheetViews>
  <sheetFormatPr defaultColWidth="4" defaultRowHeight="14.25" x14ac:dyDescent="0.45"/>
  <cols>
    <col min="1" max="1" width="16.33203125" style="11" customWidth="1"/>
    <col min="2" max="2" width="17" style="11" bestFit="1" customWidth="1"/>
    <col min="3" max="3" width="17.33203125" style="11" bestFit="1" customWidth="1"/>
    <col min="4" max="4" width="14.6640625" style="11" bestFit="1" customWidth="1"/>
    <col min="5" max="5" width="18" style="11" bestFit="1" customWidth="1"/>
    <col min="6" max="6" width="11.46484375" style="11" bestFit="1" customWidth="1"/>
    <col min="7" max="8" width="19.6640625" style="11" bestFit="1" customWidth="1"/>
    <col min="9" max="9" width="24" style="11" bestFit="1" customWidth="1"/>
    <col min="10" max="10" width="13.796875" style="11" bestFit="1" customWidth="1"/>
    <col min="11" max="16384" width="4" style="11"/>
  </cols>
  <sheetData>
    <row r="1" spans="1:10" ht="44" customHeight="1" x14ac:dyDescent="0.9">
      <c r="A1" s="53" t="s">
        <v>82</v>
      </c>
      <c r="B1" s="54"/>
      <c r="C1" s="54"/>
      <c r="D1" s="54"/>
      <c r="E1" s="54"/>
      <c r="F1" s="54"/>
      <c r="G1" s="54"/>
      <c r="H1" s="54"/>
      <c r="I1" s="54"/>
      <c r="J1" s="54"/>
    </row>
    <row r="2" spans="1:10" x14ac:dyDescent="0.45">
      <c r="A2" s="2" t="s">
        <v>10</v>
      </c>
      <c r="B2" s="2" t="s">
        <v>83</v>
      </c>
      <c r="C2" s="2" t="s">
        <v>84</v>
      </c>
      <c r="D2" s="2" t="s">
        <v>85</v>
      </c>
      <c r="E2" s="2" t="s">
        <v>86</v>
      </c>
      <c r="F2" s="2" t="s">
        <v>87</v>
      </c>
      <c r="G2" s="2" t="s">
        <v>88</v>
      </c>
      <c r="H2" s="2" t="s">
        <v>89</v>
      </c>
      <c r="I2" s="2" t="s">
        <v>90</v>
      </c>
      <c r="J2" s="2" t="s">
        <v>91</v>
      </c>
    </row>
    <row r="3" spans="1:10" x14ac:dyDescent="0.45">
      <c r="A3" s="8" t="s">
        <v>92</v>
      </c>
      <c r="B3" s="13">
        <v>5</v>
      </c>
      <c r="C3" s="13">
        <v>22</v>
      </c>
      <c r="D3" s="5">
        <v>20</v>
      </c>
      <c r="E3" s="13">
        <f>Current_Inventory+Order_Quantity</f>
        <v>25</v>
      </c>
      <c r="F3" s="13">
        <f>MIN(_xlfn.SINGLE(Expected_Demand),_xlfn.SINGLE(Updated_Inventory))</f>
        <v>22</v>
      </c>
      <c r="G3" s="13">
        <f>Expected_Demand-Actual_Sales</f>
        <v>0</v>
      </c>
      <c r="H3" s="12">
        <v>7.31</v>
      </c>
      <c r="I3" s="12">
        <v>2.9233212050722779</v>
      </c>
      <c r="J3" s="12">
        <v>13.135279504855134</v>
      </c>
    </row>
    <row r="4" spans="1:10" x14ac:dyDescent="0.45">
      <c r="A4" s="8" t="s">
        <v>16</v>
      </c>
      <c r="B4" s="13">
        <v>9</v>
      </c>
      <c r="C4" s="13">
        <v>17</v>
      </c>
      <c r="D4" s="5">
        <v>38</v>
      </c>
      <c r="E4" s="13">
        <f>Current_Inventory+Order_Quantity</f>
        <v>47</v>
      </c>
      <c r="F4" s="13">
        <f>MIN(_xlfn.SINGLE(Expected_Demand),_xlfn.SINGLE(Updated_Inventory))</f>
        <v>17</v>
      </c>
      <c r="G4" s="13">
        <f>Expected_Demand-Actual_Sales</f>
        <v>0</v>
      </c>
      <c r="H4" s="12">
        <v>6.67</v>
      </c>
      <c r="I4" s="12">
        <v>3.3633533400544113</v>
      </c>
      <c r="J4" s="12">
        <v>12.765708637454392</v>
      </c>
    </row>
    <row r="5" spans="1:10" x14ac:dyDescent="0.45">
      <c r="A5" s="8" t="s">
        <v>20</v>
      </c>
      <c r="B5" s="13">
        <v>13</v>
      </c>
      <c r="C5" s="13">
        <v>10</v>
      </c>
      <c r="D5" s="5">
        <v>0</v>
      </c>
      <c r="E5" s="34">
        <f>Current_Inventory+Order_Quantity</f>
        <v>13</v>
      </c>
      <c r="F5" s="13">
        <f>MIN(_xlfn.SINGLE(Expected_Demand),_xlfn.SINGLE(Updated_Inventory))</f>
        <v>10</v>
      </c>
      <c r="G5" s="13">
        <f>Expected_Demand-Actual_Sales</f>
        <v>0</v>
      </c>
      <c r="H5" s="12">
        <v>5.84</v>
      </c>
      <c r="I5" s="12">
        <v>2.5269157815241625</v>
      </c>
      <c r="J5" s="12">
        <v>9.9048426493160715</v>
      </c>
    </row>
    <row r="9" spans="1:10" x14ac:dyDescent="0.45">
      <c r="B9" s="11" t="s">
        <v>93</v>
      </c>
      <c r="H9" s="1" t="s">
        <v>94</v>
      </c>
      <c r="I9" s="1" t="s">
        <v>95</v>
      </c>
      <c r="J9" s="2" t="s">
        <v>96</v>
      </c>
    </row>
    <row r="10" spans="1:10" x14ac:dyDescent="0.45">
      <c r="B10" s="11" t="s">
        <v>83</v>
      </c>
      <c r="H10" s="12">
        <f>SUMPRODUCT(H3:H5,D3:D5)</f>
        <v>399.65999999999997</v>
      </c>
      <c r="I10" s="12">
        <f>SUMPRODUCT(I3:I5,G3:G5)</f>
        <v>0</v>
      </c>
      <c r="J10" s="12">
        <f>SUMPRODUCT(J3:J5,F3:F5)</f>
        <v>605.04162243669839</v>
      </c>
    </row>
    <row r="11" spans="1:10" x14ac:dyDescent="0.45">
      <c r="B11" s="11" t="s">
        <v>84</v>
      </c>
    </row>
    <row r="12" spans="1:10" x14ac:dyDescent="0.45">
      <c r="B12" s="11" t="s">
        <v>90</v>
      </c>
      <c r="H12" s="2" t="s">
        <v>76</v>
      </c>
      <c r="I12" s="1" t="s">
        <v>61</v>
      </c>
      <c r="J12" s="2" t="s">
        <v>77</v>
      </c>
    </row>
    <row r="13" spans="1:10" x14ac:dyDescent="0.45">
      <c r="B13" s="11" t="s">
        <v>89</v>
      </c>
      <c r="H13" s="12">
        <f>SUM(H10:I10)</f>
        <v>399.65999999999997</v>
      </c>
      <c r="I13" s="12">
        <v>500</v>
      </c>
      <c r="J13" s="12">
        <f>Total_Revenue-Total_Costs</f>
        <v>205.38162243669842</v>
      </c>
    </row>
    <row r="14" spans="1:10" x14ac:dyDescent="0.45">
      <c r="B14" s="11" t="s">
        <v>91</v>
      </c>
    </row>
    <row r="16" spans="1:10" x14ac:dyDescent="0.45">
      <c r="H16" s="2" t="s">
        <v>69</v>
      </c>
      <c r="I16" s="3" t="s">
        <v>97</v>
      </c>
      <c r="J16" s="3" t="s">
        <v>98</v>
      </c>
    </row>
    <row r="17" spans="8:10" x14ac:dyDescent="0.45">
      <c r="H17" s="14" t="s">
        <v>78</v>
      </c>
      <c r="I17" s="4">
        <v>70</v>
      </c>
      <c r="J17" s="4">
        <v>29</v>
      </c>
    </row>
  </sheetData>
  <mergeCells count="1">
    <mergeCell ref="A1:J1"/>
  </mergeCells>
  <dataValidations count="15">
    <dataValidation type="whole" operator="greaterThanOrEqual" allowBlank="1" showInputMessage="1" showErrorMessage="1" errorTitle="ERROR" error="The number you've entered is not valid" promptTitle="Inventory - Television" prompt="Enter the current inventory for televisions " sqref="B3" xr:uid="{34276514-3528-4920-9C10-99F7BFE7623D}">
      <formula1>0</formula1>
    </dataValidation>
    <dataValidation type="whole" operator="greaterThanOrEqual" allowBlank="1" showInputMessage="1" showErrorMessage="1" errorTitle="ERROR" error="The number you've entered is not valid" promptTitle="Inventory - Laptops" prompt="Enter the current inventory for laptops" sqref="B4" xr:uid="{7D83E425-FDB6-4904-80C9-871DBBA6F8DF}">
      <formula1>0</formula1>
    </dataValidation>
    <dataValidation type="whole" operator="greaterThanOrEqual" allowBlank="1" showInputMessage="1" showErrorMessage="1" errorTitle="ERROR" error="The number you've entered is not valid" promptTitle="Inventory - Tablets" prompt="Enter the current inventory amount for tablets" sqref="B5" xr:uid="{2027A795-3120-4DAF-9336-76C783768735}">
      <formula1>0</formula1>
    </dataValidation>
    <dataValidation type="whole" operator="greaterThanOrEqual" allowBlank="1" showInputMessage="1" showErrorMessage="1" errorTitle="ERROR" error="The number you've entered is not valid" promptTitle="Demand - Television" prompt="Enter the expected demand for televisions" sqref="C3" xr:uid="{47F74897-6C0A-43A1-ABBA-E12A8678AF7C}">
      <formula1>0</formula1>
    </dataValidation>
    <dataValidation type="whole" operator="greaterThanOrEqual" allowBlank="1" showInputMessage="1" showErrorMessage="1" errorTitle="ERROR" error="The number you've entered is not valid" promptTitle="Demand - Laptops" prompt="Enter the expected demand for laptops" sqref="C4" xr:uid="{AE34318D-8B64-43AB-961F-8586D32D9D56}">
      <formula1>0</formula1>
    </dataValidation>
    <dataValidation type="whole" operator="greaterThanOrEqual" allowBlank="1" showInputMessage="1" showErrorMessage="1" errorTitle="ERROR" error="The number you've entered is not valid" promptTitle="Demand - Tablets" prompt="Enter the expected demand for tablets" sqref="C5" xr:uid="{66F8284F-E35E-4D2B-8801-07BCC8B5BC6F}">
      <formula1>0</formula1>
    </dataValidation>
    <dataValidation type="decimal" operator="greaterThanOrEqual" allowBlank="1" showInputMessage="1" showErrorMessage="1" errorTitle="ERROR" error="The value you've entered is not a valid number. Please make sure you are entering the cost using decimals" promptTitle="Order Cost - Television" prompt="Enter the order cost for televisions" sqref="H3" xr:uid="{8D42BF08-5E8C-4526-82E3-DA13E2685D8A}">
      <formula1>0</formula1>
    </dataValidation>
    <dataValidation type="decimal" operator="greaterThanOrEqual" allowBlank="1" showInputMessage="1" showErrorMessage="1" errorTitle="ERROR" error="The value you've entered is not valid. Please make sure you are entering the cost in decimal form." promptTitle="Order Cost - Laptops" prompt="Enter the order cost for laptops" sqref="H4" xr:uid="{DF25EB0C-2EA5-4587-AC88-30722F3C2CEC}">
      <formula1>0</formula1>
    </dataValidation>
    <dataValidation type="decimal" operator="greaterThanOrEqual" allowBlank="1" showInputMessage="1" showErrorMessage="1" errorTitle="ERROR" error="The value you've entered is not valid. Please make sure  you are entering the cost in decimal form." promptTitle="Order Cost - Tablets" prompt="Enter the order cost for tablets" sqref="H5" xr:uid="{772D62FE-38E1-4F80-A8E2-34A3387C96B6}">
      <formula1>0</formula1>
    </dataValidation>
    <dataValidation type="decimal" operator="greaterThanOrEqual" allowBlank="1" showInputMessage="1" showErrorMessage="1" errorTitle="ERROR" error="The value you've entered is not valid. Please ensure you are entering costs as a decimal." promptTitle="Lost Sales Cost - Television" prompt="Enter the lost sales cost for televisions" sqref="I3" xr:uid="{7DD463B3-99CE-47D2-9C22-9AF8B57C2738}">
      <formula1>0</formula1>
    </dataValidation>
    <dataValidation type="decimal" operator="greaterThanOrEqual" allowBlank="1" showInputMessage="1" showErrorMessage="1" errorTitle="ERROR" error="The value you've entered is not valid. Please ensure you are entering costs as a decimal." promptTitle="Lost Sales Cost - Laptops" prompt="Enter the lost sales cost for laptops" sqref="I4" xr:uid="{3E997391-AEAF-443E-8E5E-557BFCD6986E}">
      <formula1>0</formula1>
    </dataValidation>
    <dataValidation type="decimal" operator="greaterThanOrEqual" allowBlank="1" showInputMessage="1" showErrorMessage="1" errorTitle="ERROR" error="The value you've entered is not valid. Please ensure you are entering costs as a decimal." promptTitle="Lost Sales Cost - Tablets" prompt="Enter the lost sales cost for tablets" sqref="I5" xr:uid="{804A6DB1-6A51-499C-B265-33BC4633E124}">
      <formula1>0</formula1>
    </dataValidation>
    <dataValidation type="decimal" operator="greaterThanOrEqual" allowBlank="1" showInputMessage="1" showErrorMessage="1" errorTitle="ERROR" error="The value you've entered is not valid. Please ensure you are entering the price as a decimal." promptTitle="Sales Price - Television" prompt="Enter the sales price for televisions" sqref="J3" xr:uid="{A8F709B3-ED38-42AD-B6F7-29887F2CDE67}">
      <formula1>0</formula1>
    </dataValidation>
    <dataValidation type="decimal" operator="greaterThanOrEqual" allowBlank="1" showInputMessage="1" showErrorMessage="1" errorTitle="ERROR" error="The value you've entered is not valid. Please ensure you are entering the price as a decimal." promptTitle="Sales Price - Laptops" prompt="Enter the sales price for laptops" sqref="J4" xr:uid="{74255BB1-DD04-4FEC-A07B-EB09C38EECF0}">
      <formula1>0</formula1>
    </dataValidation>
    <dataValidation type="decimal" operator="greaterThanOrEqual" allowBlank="1" showInputMessage="1" showErrorMessage="1" errorTitle="ERROR" error="The value you've entered is not valid. Please ensure you are entering the price as a decimal." promptTitle="Sales Price - Tablets" prompt="Enter the sales price for tablets" sqref="J5" xr:uid="{5FBC786F-6846-426C-A3D2-C0369622D053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403E7-A746-4577-9846-AA4683936232}">
  <sheetPr codeName="Sheet6"/>
  <dimension ref="A1:J17"/>
  <sheetViews>
    <sheetView zoomScale="136" zoomScaleNormal="90" workbookViewId="0">
      <selection activeCell="D7" sqref="D7"/>
    </sheetView>
  </sheetViews>
  <sheetFormatPr defaultColWidth="4" defaultRowHeight="14.25" x14ac:dyDescent="0.45"/>
  <cols>
    <col min="1" max="1" width="16.33203125" style="11" customWidth="1"/>
    <col min="2" max="2" width="17" style="11" bestFit="1" customWidth="1"/>
    <col min="3" max="3" width="17.33203125" style="11" bestFit="1" customWidth="1"/>
    <col min="4" max="4" width="14.6640625" style="11" bestFit="1" customWidth="1"/>
    <col min="5" max="5" width="18" style="11" bestFit="1" customWidth="1"/>
    <col min="6" max="6" width="11.46484375" style="11" bestFit="1" customWidth="1"/>
    <col min="7" max="8" width="19.6640625" style="11" bestFit="1" customWidth="1"/>
    <col min="9" max="9" width="24" style="11" bestFit="1" customWidth="1"/>
    <col min="10" max="10" width="14.1328125" style="11" customWidth="1"/>
    <col min="11" max="16384" width="4" style="11"/>
  </cols>
  <sheetData>
    <row r="1" spans="1:10" ht="43.05" customHeight="1" x14ac:dyDescent="0.9">
      <c r="A1" s="53" t="s">
        <v>99</v>
      </c>
      <c r="B1" s="54"/>
      <c r="C1" s="54"/>
      <c r="D1" s="54"/>
      <c r="E1" s="54"/>
      <c r="F1" s="54"/>
      <c r="G1" s="54"/>
      <c r="H1" s="54"/>
      <c r="I1" s="54"/>
      <c r="J1" s="54"/>
    </row>
    <row r="2" spans="1:10" x14ac:dyDescent="0.45">
      <c r="A2" s="2" t="s">
        <v>10</v>
      </c>
      <c r="B2" s="2" t="s">
        <v>83</v>
      </c>
      <c r="C2" s="2" t="s">
        <v>84</v>
      </c>
      <c r="D2" s="2" t="s">
        <v>85</v>
      </c>
      <c r="E2" s="2" t="s">
        <v>86</v>
      </c>
      <c r="F2" s="2" t="s">
        <v>87</v>
      </c>
      <c r="G2" s="2" t="s">
        <v>88</v>
      </c>
      <c r="H2" s="2" t="s">
        <v>89</v>
      </c>
      <c r="I2" s="2" t="s">
        <v>90</v>
      </c>
      <c r="J2" s="2" t="s">
        <v>91</v>
      </c>
    </row>
    <row r="3" spans="1:10" x14ac:dyDescent="0.45">
      <c r="A3" s="8" t="s">
        <v>24</v>
      </c>
      <c r="B3" s="13">
        <v>5</v>
      </c>
      <c r="C3" s="13">
        <v>22</v>
      </c>
      <c r="D3" s="5">
        <v>33</v>
      </c>
      <c r="E3" s="13">
        <f>Current_Inventory+Order_Quantity</f>
        <v>38</v>
      </c>
      <c r="F3" s="13">
        <f>MIN(_xlfn.SINGLE(Expected_Demand),_xlfn.SINGLE(Updated_Inventory))</f>
        <v>22</v>
      </c>
      <c r="G3" s="13">
        <f>Expected_Demand-Actual_Sales</f>
        <v>0</v>
      </c>
      <c r="H3" s="12">
        <v>7.31</v>
      </c>
      <c r="I3" s="12">
        <v>2.9233212050722779</v>
      </c>
      <c r="J3" s="12">
        <v>13.135279504855134</v>
      </c>
    </row>
    <row r="4" spans="1:10" x14ac:dyDescent="0.45">
      <c r="A4" s="8" t="s">
        <v>29</v>
      </c>
      <c r="B4" s="13">
        <v>9</v>
      </c>
      <c r="C4" s="13">
        <v>17</v>
      </c>
      <c r="D4" s="5">
        <v>38</v>
      </c>
      <c r="E4" s="13">
        <f>Current_Inventory+Order_Quantity</f>
        <v>47</v>
      </c>
      <c r="F4" s="13">
        <f>MIN(_xlfn.SINGLE(Expected_Demand),_xlfn.SINGLE(Updated_Inventory))</f>
        <v>17</v>
      </c>
      <c r="G4" s="13">
        <f>Expected_Demand-Actual_Sales</f>
        <v>0</v>
      </c>
      <c r="H4" s="12">
        <v>6.67</v>
      </c>
      <c r="I4" s="12">
        <v>3.3633533400544113</v>
      </c>
      <c r="J4" s="12">
        <v>12.765708637454392</v>
      </c>
    </row>
    <row r="5" spans="1:10" x14ac:dyDescent="0.45">
      <c r="A5" s="8" t="s">
        <v>32</v>
      </c>
      <c r="B5" s="13">
        <v>13</v>
      </c>
      <c r="C5" s="13">
        <v>10</v>
      </c>
      <c r="D5" s="5">
        <v>0</v>
      </c>
      <c r="E5" s="13">
        <f>Current_Inventory+Order_Quantity</f>
        <v>13</v>
      </c>
      <c r="F5" s="13">
        <f>MIN(_xlfn.SINGLE(Expected_Demand),_xlfn.SINGLE(Updated_Inventory))</f>
        <v>10</v>
      </c>
      <c r="G5" s="13">
        <f>Expected_Demand-Actual_Sales</f>
        <v>0</v>
      </c>
      <c r="H5" s="12">
        <v>5.84</v>
      </c>
      <c r="I5" s="12">
        <v>2.5269157815241625</v>
      </c>
      <c r="J5" s="12">
        <v>9.9048426493160715</v>
      </c>
    </row>
    <row r="9" spans="1:10" x14ac:dyDescent="0.45">
      <c r="H9" s="1" t="s">
        <v>94</v>
      </c>
      <c r="I9" s="1" t="s">
        <v>95</v>
      </c>
      <c r="J9" s="2" t="s">
        <v>96</v>
      </c>
    </row>
    <row r="10" spans="1:10" x14ac:dyDescent="0.45">
      <c r="H10" s="12">
        <f>SUMPRODUCT(H3:H5,D3:D5)</f>
        <v>494.69</v>
      </c>
      <c r="I10" s="12">
        <f>SUMPRODUCT(I3:I5,G3:G5)</f>
        <v>0</v>
      </c>
      <c r="J10" s="12">
        <f>SUMPRODUCT(J3:J5,F3:F5)</f>
        <v>605.04162243669839</v>
      </c>
    </row>
    <row r="12" spans="1:10" x14ac:dyDescent="0.45">
      <c r="H12" s="2" t="s">
        <v>76</v>
      </c>
      <c r="I12" s="1" t="s">
        <v>61</v>
      </c>
      <c r="J12" s="2" t="s">
        <v>77</v>
      </c>
    </row>
    <row r="13" spans="1:10" x14ac:dyDescent="0.45">
      <c r="H13" s="12">
        <f>SUM(H10:I10)</f>
        <v>494.69</v>
      </c>
      <c r="I13" s="12">
        <v>500</v>
      </c>
      <c r="J13" s="12">
        <f>Total_Revenue-Total_Costs</f>
        <v>110.35162243669839</v>
      </c>
    </row>
    <row r="16" spans="1:10" x14ac:dyDescent="0.45">
      <c r="H16" s="2" t="s">
        <v>69</v>
      </c>
      <c r="I16" s="3" t="s">
        <v>97</v>
      </c>
      <c r="J16" s="3" t="s">
        <v>98</v>
      </c>
    </row>
    <row r="17" spans="8:10" x14ac:dyDescent="0.45">
      <c r="H17" s="14" t="s">
        <v>78</v>
      </c>
      <c r="I17" s="4">
        <v>71</v>
      </c>
      <c r="J17" s="4">
        <v>29</v>
      </c>
    </row>
  </sheetData>
  <mergeCells count="1">
    <mergeCell ref="A1:J1"/>
  </mergeCells>
  <dataValidations count="15">
    <dataValidation type="whole" operator="greaterThanOrEqual" allowBlank="1" showInputMessage="1" showErrorMessage="1" errorTitle="ERROR" error="The value you've entered is not valid" promptTitle="Inventory - Shirts" prompt="Enter the inventory amount for shirts " sqref="B3" xr:uid="{BB2B2B2D-1655-40F5-B81D-DC7D5D40296B}">
      <formula1>0</formula1>
    </dataValidation>
    <dataValidation type="whole" operator="greaterThanOrEqual" allowBlank="1" showInputMessage="1" showErrorMessage="1" errorTitle="ERROR" error="The value you've entered is not valid" promptTitle="Inventory - Pants" prompt="Enter the inventory amount for pants" sqref="B4" xr:uid="{44902E22-E542-42BD-AD14-7CC3E679E621}">
      <formula1>0</formula1>
    </dataValidation>
    <dataValidation type="whole" operator="greaterThanOrEqual" allowBlank="1" showInputMessage="1" showErrorMessage="1" errorTitle="ERROR" error="The value you've entered is not valid." promptTitle="Inventory - Socks" prompt="Enter the inventory amount for socks" sqref="B5" xr:uid="{EC0ED2FF-9928-4858-BF0C-09CF82F2CDD5}">
      <formula1>0</formula1>
    </dataValidation>
    <dataValidation type="whole" operator="greaterThanOrEqual" allowBlank="1" showInputMessage="1" showErrorMessage="1" errorTitle="ERROR" error="The value you've entered is not valid" promptTitle="Demand - Shirts" prompt="Enter the expected demand for shirts " sqref="C3" xr:uid="{F8A6FBCD-BC76-4944-91F9-E984F36973F3}">
      <formula1>0</formula1>
    </dataValidation>
    <dataValidation type="whole" operator="greaterThanOrEqual" allowBlank="1" showInputMessage="1" showErrorMessage="1" errorTitle="ERROR" error="The value you've entered is not valid" promptTitle="Demand - Pants" prompt="Enter the expected demand for pants" sqref="C4" xr:uid="{DA3971D0-CB10-473E-85D7-A96AB43C7EAE}">
      <formula1>0</formula1>
    </dataValidation>
    <dataValidation type="whole" operator="greaterThanOrEqual" allowBlank="1" showInputMessage="1" showErrorMessage="1" errorTitle="ERROR" error="The value you've entered is not valid" promptTitle="Demand - socks" prompt="Enter the expected demand for socks" sqref="C5" xr:uid="{D6245B78-A341-4DF2-8D02-D8315F82DBA4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Shirts" prompt="Enter the order cost for shirts" sqref="H3" xr:uid="{AF7F192B-740C-4BA3-BE55-E9D71D5424EA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Pants" prompt="Enter the order cost for pants" sqref="H4" xr:uid="{C1FF8ACF-AD6F-4AE8-88B7-1C99E6B62776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Socks" prompt="Enter the order cost for socks" sqref="H5" xr:uid="{83C5888F-1582-4CAA-8E2B-85B493EF04E3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Shirts" prompt="Enter the lost sales cost for shirts" sqref="I3" xr:uid="{6C33FC2C-B34E-4E67-8768-832C0008AC41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Pants" prompt="Enter the lost sales cost for pants" sqref="I4" xr:uid="{1B313B0E-170C-4226-87DB-FDD624E3D3EB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Socks" prompt="Enter the lost sales cost for socks " sqref="I5" xr:uid="{35317BD2-5FA6-4C02-A643-64A15E8ED656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Shirts" prompt="Enter the sales price for shirts" sqref="J3" xr:uid="{8D78D6F5-8DA9-4E45-961D-F5E726B1D60F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Pants" prompt="Enter the sales price for pants" sqref="J4" xr:uid="{0D1F4FB0-B0A2-4B59-8AB3-A45973000165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Socks" prompt="Enter the sales price for socks" sqref="J5" xr:uid="{039647D0-3FF6-480E-99DB-CDD2EF02E495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09DC4-EF63-46C1-B4AE-5014CD424B66}">
  <sheetPr codeName="Sheet7"/>
  <dimension ref="A1:J17"/>
  <sheetViews>
    <sheetView zoomScale="137" zoomScaleNormal="90" workbookViewId="0">
      <selection activeCell="G49" sqref="G49"/>
    </sheetView>
  </sheetViews>
  <sheetFormatPr defaultColWidth="4" defaultRowHeight="14.25" x14ac:dyDescent="0.45"/>
  <cols>
    <col min="1" max="1" width="16.33203125" style="11" customWidth="1"/>
    <col min="2" max="2" width="17" style="11" bestFit="1" customWidth="1"/>
    <col min="3" max="3" width="17.33203125" style="11" bestFit="1" customWidth="1"/>
    <col min="4" max="4" width="14.6640625" style="11" bestFit="1" customWidth="1"/>
    <col min="5" max="5" width="18" style="11" bestFit="1" customWidth="1"/>
    <col min="6" max="6" width="11.46484375" style="11" bestFit="1" customWidth="1"/>
    <col min="7" max="8" width="19.6640625" style="11" bestFit="1" customWidth="1"/>
    <col min="9" max="9" width="24" style="11" bestFit="1" customWidth="1"/>
    <col min="10" max="10" width="13.796875" style="11" bestFit="1" customWidth="1"/>
    <col min="11" max="16384" width="4" style="11"/>
  </cols>
  <sheetData>
    <row r="1" spans="1:10" ht="43.05" customHeight="1" x14ac:dyDescent="0.9">
      <c r="A1" s="53" t="s">
        <v>100</v>
      </c>
      <c r="B1" s="54"/>
      <c r="C1" s="54"/>
      <c r="D1" s="54"/>
      <c r="E1" s="54"/>
      <c r="F1" s="54"/>
      <c r="G1" s="54"/>
      <c r="H1" s="54"/>
      <c r="I1" s="54"/>
      <c r="J1" s="54"/>
    </row>
    <row r="2" spans="1:10" x14ac:dyDescent="0.45">
      <c r="A2" s="2" t="s">
        <v>10</v>
      </c>
      <c r="B2" s="2" t="s">
        <v>83</v>
      </c>
      <c r="C2" s="2" t="s">
        <v>84</v>
      </c>
      <c r="D2" s="2" t="s">
        <v>85</v>
      </c>
      <c r="E2" s="2" t="s">
        <v>86</v>
      </c>
      <c r="F2" s="2" t="s">
        <v>87</v>
      </c>
      <c r="G2" s="2" t="s">
        <v>88</v>
      </c>
      <c r="H2" s="2" t="s">
        <v>89</v>
      </c>
      <c r="I2" s="2" t="s">
        <v>90</v>
      </c>
      <c r="J2" s="2" t="s">
        <v>91</v>
      </c>
    </row>
    <row r="3" spans="1:10" x14ac:dyDescent="0.45">
      <c r="A3" s="8" t="s">
        <v>35</v>
      </c>
      <c r="B3" s="13">
        <v>5</v>
      </c>
      <c r="C3" s="13">
        <v>22</v>
      </c>
      <c r="D3" s="5">
        <v>33</v>
      </c>
      <c r="E3" s="13">
        <f>Current_Inventory+Order_Quantity</f>
        <v>38</v>
      </c>
      <c r="F3" s="13">
        <f>MIN(_xlfn.SINGLE(Expected_Demand),_xlfn.SINGLE(Updated_Inventory))</f>
        <v>22</v>
      </c>
      <c r="G3" s="13">
        <f>Expected_Demand-Actual_Sales</f>
        <v>0</v>
      </c>
      <c r="H3" s="12">
        <v>7.31</v>
      </c>
      <c r="I3" s="12">
        <v>2.9233212050722779</v>
      </c>
      <c r="J3" s="12">
        <v>13.135279504855134</v>
      </c>
    </row>
    <row r="4" spans="1:10" x14ac:dyDescent="0.45">
      <c r="A4" s="8" t="s">
        <v>36</v>
      </c>
      <c r="B4" s="13">
        <v>9</v>
      </c>
      <c r="C4" s="13">
        <v>17</v>
      </c>
      <c r="D4" s="5">
        <v>38</v>
      </c>
      <c r="E4" s="13">
        <f>Current_Inventory+Order_Quantity</f>
        <v>47</v>
      </c>
      <c r="F4" s="13">
        <f>MIN(_xlfn.SINGLE(Expected_Demand),_xlfn.SINGLE(Updated_Inventory))</f>
        <v>17</v>
      </c>
      <c r="G4" s="13">
        <f>Expected_Demand-Actual_Sales</f>
        <v>0</v>
      </c>
      <c r="H4" s="12">
        <v>6.67</v>
      </c>
      <c r="I4" s="12">
        <v>3.3633533400544113</v>
      </c>
      <c r="J4" s="12">
        <v>12.765708637454392</v>
      </c>
    </row>
    <row r="5" spans="1:10" x14ac:dyDescent="0.45">
      <c r="A5" s="8" t="s">
        <v>37</v>
      </c>
      <c r="B5" s="13">
        <v>13</v>
      </c>
      <c r="C5" s="13">
        <v>10</v>
      </c>
      <c r="D5" s="5">
        <v>0</v>
      </c>
      <c r="E5" s="13">
        <f>Current_Inventory+Order_Quantity</f>
        <v>13</v>
      </c>
      <c r="F5" s="13">
        <f>MIN(_xlfn.SINGLE(Expected_Demand),_xlfn.SINGLE(Updated_Inventory))</f>
        <v>10</v>
      </c>
      <c r="G5" s="13">
        <f>Expected_Demand-Actual_Sales</f>
        <v>0</v>
      </c>
      <c r="H5" s="12">
        <v>5.84</v>
      </c>
      <c r="I5" s="12">
        <v>2.5269157815241625</v>
      </c>
      <c r="J5" s="12">
        <v>9.9048426493160715</v>
      </c>
    </row>
    <row r="9" spans="1:10" x14ac:dyDescent="0.45">
      <c r="H9" s="1" t="s">
        <v>94</v>
      </c>
      <c r="I9" s="1" t="s">
        <v>95</v>
      </c>
      <c r="J9" s="2" t="s">
        <v>96</v>
      </c>
    </row>
    <row r="10" spans="1:10" x14ac:dyDescent="0.45">
      <c r="H10" s="12">
        <f>SUMPRODUCT(H3:H5,D3:D5)</f>
        <v>494.69</v>
      </c>
      <c r="I10" s="12">
        <f>SUMPRODUCT(I3:I5,G3:G5)</f>
        <v>0</v>
      </c>
      <c r="J10" s="12">
        <f>SUMPRODUCT(J3:J5,F3:F5)</f>
        <v>605.04162243669839</v>
      </c>
    </row>
    <row r="12" spans="1:10" x14ac:dyDescent="0.45">
      <c r="H12" s="2" t="s">
        <v>76</v>
      </c>
      <c r="I12" s="1" t="s">
        <v>61</v>
      </c>
      <c r="J12" s="2" t="s">
        <v>77</v>
      </c>
    </row>
    <row r="13" spans="1:10" x14ac:dyDescent="0.45">
      <c r="H13" s="12">
        <f>SUM(H10:I10)</f>
        <v>494.69</v>
      </c>
      <c r="I13" s="12">
        <v>500</v>
      </c>
      <c r="J13" s="12">
        <f>Total_Revenue-Total_Costs</f>
        <v>110.35162243669839</v>
      </c>
    </row>
    <row r="16" spans="1:10" x14ac:dyDescent="0.45">
      <c r="H16" s="2" t="s">
        <v>69</v>
      </c>
      <c r="I16" s="3" t="s">
        <v>97</v>
      </c>
      <c r="J16" s="3" t="s">
        <v>98</v>
      </c>
    </row>
    <row r="17" spans="8:10" x14ac:dyDescent="0.45">
      <c r="H17" s="14" t="s">
        <v>78</v>
      </c>
      <c r="I17" s="4">
        <v>71</v>
      </c>
      <c r="J17" s="4">
        <v>29</v>
      </c>
    </row>
  </sheetData>
  <mergeCells count="1">
    <mergeCell ref="A1:J1"/>
  </mergeCells>
  <dataValidations count="15">
    <dataValidation type="whole" operator="greaterThanOrEqual" allowBlank="1" showInputMessage="1" showErrorMessage="1" errorTitle="ERROR" error="The value you've entered in not valid. " promptTitle="Inventory - Mucinex" prompt="Enter the current inventory for Mucinex" sqref="B3" xr:uid="{C3209CB0-486C-4005-BB75-D92F1F29FAC9}">
      <formula1>0</formula1>
    </dataValidation>
    <dataValidation type="whole" operator="greaterThanOrEqual" allowBlank="1" showInputMessage="1" showErrorMessage="1" errorTitle="ERROR" error="The value you've entered in not valid." promptTitle="Inventory - Eye Drops" prompt="Enter the current inventory for eye drops" sqref="B4" xr:uid="{97BD65C4-E32A-477C-A25D-A66D7E6CE106}">
      <formula1>0</formula1>
    </dataValidation>
    <dataValidation type="whole" operator="greaterThanOrEqual" allowBlank="1" showInputMessage="1" showErrorMessage="1" errorTitle="ERROR" error="The value you've entered in not valid. " promptTitle="Inventory - Ibuprofen" prompt="Enter the current inventory for Ibuprofen" sqref="B5" xr:uid="{D1069240-C257-4BC6-AEDD-7853693A71C4}">
      <formula1>0</formula1>
    </dataValidation>
    <dataValidation type="whole" operator="greaterThanOrEqual" allowBlank="1" showInputMessage="1" showErrorMessage="1" errorTitle="ERROR" error="The value you've entered in not valid." promptTitle="Demand - Mucinex" prompt="Enter the expected demand for mucinex" sqref="C3" xr:uid="{B8956FCA-BE84-4D9A-8CA7-0E731F000D7D}">
      <formula1>0</formula1>
    </dataValidation>
    <dataValidation type="whole" operator="greaterThanOrEqual" allowBlank="1" showInputMessage="1" showErrorMessage="1" errorTitle="ERROR" error="The value you've entered in not valid. " promptTitle="Demand - Eye Drops" prompt="Enter the expected demand for eye drops" sqref="C4" xr:uid="{53D5B020-C4F7-4599-AC9F-46378C270329}">
      <formula1>0</formula1>
    </dataValidation>
    <dataValidation type="whole" operator="greaterThanOrEqual" allowBlank="1" showInputMessage="1" showErrorMessage="1" errorTitle="ERROR" error="The value you've entered in not valid. " promptTitle="Demand - Ibuprofen" prompt="Enter the expected demand for ibuprofen" sqref="C5" xr:uid="{7C7F243C-1CF8-4C7F-8234-EE6DD3713DE5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Mucinex" prompt="Enter the order cost for mucinex" sqref="H3" xr:uid="{D7358922-84AD-4AB5-B2D6-D533A0B7D96A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Eye Drops" prompt="Enter the order cost for eye drops" sqref="H4" xr:uid="{C709D496-74CD-467D-AB9C-66CC5218C25A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Ibuprofen" prompt="Enter the order cost for Ibuprofen" sqref="H5" xr:uid="{B21E8968-FE6E-440C-BE2E-5D0AFBEA8B14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Mucinex" prompt="Enter the lost sales cost for Mucinex" sqref="I3" xr:uid="{2F50D689-B4D0-43BA-A6AB-C605B9542C7C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Eye Drops" prompt="Enter the lost sales cost for eye drops" sqref="I4" xr:uid="{CB94AE0C-82C4-48CB-B5EF-A90F900096D8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Ibuprofen" prompt="Enter the lost sales cost for Ibuprofen" sqref="I5" xr:uid="{62569E7D-24A6-4DF3-A4FD-08F52880E3EE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Mucinex" prompt="Enter the sales price for Mucinex" sqref="J3" xr:uid="{3A1BC192-7559-4143-B4B7-BD1703AE14F1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Eye Drops" prompt="Enter the sales price for eye drops" sqref="J4" xr:uid="{4CE05165-8436-49C7-A326-5998E55D9B12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Ibuprofen" prompt="Enter the sales price for Ibuprofen" sqref="J5" xr:uid="{6D72AC29-12D5-4BFB-9685-6E2056C1030A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4550-E812-43EC-ADA6-4FEE9973F831}">
  <sheetPr codeName="Sheet8"/>
  <dimension ref="A1:J17"/>
  <sheetViews>
    <sheetView zoomScale="143" zoomScaleNormal="90" workbookViewId="0">
      <selection activeCell="H62" sqref="H62"/>
    </sheetView>
  </sheetViews>
  <sheetFormatPr defaultColWidth="4" defaultRowHeight="14.25" x14ac:dyDescent="0.45"/>
  <cols>
    <col min="1" max="1" width="16.33203125" style="11" customWidth="1"/>
    <col min="2" max="2" width="17" style="11" bestFit="1" customWidth="1"/>
    <col min="3" max="3" width="17.33203125" style="11" bestFit="1" customWidth="1"/>
    <col min="4" max="4" width="14.6640625" style="11" bestFit="1" customWidth="1"/>
    <col min="5" max="5" width="18" style="11" bestFit="1" customWidth="1"/>
    <col min="6" max="6" width="11.46484375" style="11" bestFit="1" customWidth="1"/>
    <col min="7" max="8" width="19.6640625" style="11" bestFit="1" customWidth="1"/>
    <col min="9" max="9" width="24" style="11" bestFit="1" customWidth="1"/>
    <col min="10" max="10" width="13.796875" style="11" bestFit="1" customWidth="1"/>
    <col min="11" max="16384" width="4" style="11"/>
  </cols>
  <sheetData>
    <row r="1" spans="1:10" ht="44" customHeight="1" x14ac:dyDescent="0.9">
      <c r="A1" s="53" t="s">
        <v>101</v>
      </c>
      <c r="B1" s="54"/>
      <c r="C1" s="54"/>
      <c r="D1" s="54"/>
      <c r="E1" s="54"/>
      <c r="F1" s="54"/>
      <c r="G1" s="54"/>
      <c r="H1" s="54"/>
      <c r="I1" s="54"/>
      <c r="J1" s="54"/>
    </row>
    <row r="2" spans="1:10" x14ac:dyDescent="0.45">
      <c r="A2" s="2" t="s">
        <v>10</v>
      </c>
      <c r="B2" s="2" t="s">
        <v>83</v>
      </c>
      <c r="C2" s="2" t="s">
        <v>84</v>
      </c>
      <c r="D2" s="2" t="s">
        <v>85</v>
      </c>
      <c r="E2" s="2" t="s">
        <v>86</v>
      </c>
      <c r="F2" s="2" t="s">
        <v>87</v>
      </c>
      <c r="G2" s="2" t="s">
        <v>88</v>
      </c>
      <c r="H2" s="2" t="s">
        <v>89</v>
      </c>
      <c r="I2" s="2" t="s">
        <v>90</v>
      </c>
      <c r="J2" s="2" t="s">
        <v>91</v>
      </c>
    </row>
    <row r="3" spans="1:10" x14ac:dyDescent="0.45">
      <c r="A3" s="8" t="s">
        <v>102</v>
      </c>
      <c r="B3" s="13">
        <v>5</v>
      </c>
      <c r="C3" s="13">
        <v>22</v>
      </c>
      <c r="D3" s="5">
        <v>33</v>
      </c>
      <c r="E3" s="13">
        <f>Current_Inventory+Order_Quantity</f>
        <v>38</v>
      </c>
      <c r="F3" s="13">
        <f>MIN(_xlfn.SINGLE(Expected_Demand),_xlfn.SINGLE(Updated_Inventory))</f>
        <v>22</v>
      </c>
      <c r="G3" s="13">
        <f>Expected_Demand-Actual_Sales</f>
        <v>0</v>
      </c>
      <c r="H3" s="12">
        <v>7.31</v>
      </c>
      <c r="I3" s="12">
        <v>2.9233212050722779</v>
      </c>
      <c r="J3" s="12">
        <v>13.135279504855134</v>
      </c>
    </row>
    <row r="4" spans="1:10" x14ac:dyDescent="0.45">
      <c r="A4" s="8" t="s">
        <v>39</v>
      </c>
      <c r="B4" s="13">
        <v>9</v>
      </c>
      <c r="C4" s="13">
        <v>17</v>
      </c>
      <c r="D4" s="5">
        <v>38</v>
      </c>
      <c r="E4" s="13">
        <f>Current_Inventory+Order_Quantity</f>
        <v>47</v>
      </c>
      <c r="F4" s="13">
        <f>MIN(_xlfn.SINGLE(Expected_Demand),_xlfn.SINGLE(Updated_Inventory))</f>
        <v>17</v>
      </c>
      <c r="G4" s="13">
        <f>Expected_Demand-Actual_Sales</f>
        <v>0</v>
      </c>
      <c r="H4" s="12">
        <v>6.67</v>
      </c>
      <c r="I4" s="12">
        <v>3.3633533400544113</v>
      </c>
      <c r="J4" s="12">
        <v>12.765708637454392</v>
      </c>
    </row>
    <row r="5" spans="1:10" x14ac:dyDescent="0.45">
      <c r="A5" s="8" t="s">
        <v>40</v>
      </c>
      <c r="B5" s="13">
        <v>13</v>
      </c>
      <c r="C5" s="13">
        <v>10</v>
      </c>
      <c r="D5" s="5">
        <v>0</v>
      </c>
      <c r="E5" s="13">
        <f>Current_Inventory+Order_Quantity</f>
        <v>13</v>
      </c>
      <c r="F5" s="13">
        <f>MIN(_xlfn.SINGLE(Expected_Demand),_xlfn.SINGLE(Updated_Inventory))</f>
        <v>10</v>
      </c>
      <c r="G5" s="13">
        <f>Expected_Demand-Actual_Sales</f>
        <v>0</v>
      </c>
      <c r="H5" s="12">
        <v>5.84</v>
      </c>
      <c r="I5" s="12">
        <v>2.5269157815241625</v>
      </c>
      <c r="J5" s="12">
        <v>9.9048426493160715</v>
      </c>
    </row>
    <row r="9" spans="1:10" x14ac:dyDescent="0.45">
      <c r="H9" s="1" t="s">
        <v>94</v>
      </c>
      <c r="I9" s="1" t="s">
        <v>95</v>
      </c>
      <c r="J9" s="2" t="s">
        <v>96</v>
      </c>
    </row>
    <row r="10" spans="1:10" x14ac:dyDescent="0.45">
      <c r="H10" s="12">
        <f>SUMPRODUCT(H3:H5,D3:D5)</f>
        <v>494.69</v>
      </c>
      <c r="I10" s="12">
        <f>SUMPRODUCT(I3:I5,G3:G5)</f>
        <v>0</v>
      </c>
      <c r="J10" s="12">
        <f>SUMPRODUCT(J3:J5,F3:F5)</f>
        <v>605.04162243669839</v>
      </c>
    </row>
    <row r="12" spans="1:10" x14ac:dyDescent="0.45">
      <c r="H12" s="2" t="s">
        <v>76</v>
      </c>
      <c r="I12" s="1" t="s">
        <v>61</v>
      </c>
      <c r="J12" s="2" t="s">
        <v>77</v>
      </c>
    </row>
    <row r="13" spans="1:10" x14ac:dyDescent="0.45">
      <c r="H13" s="12">
        <f>SUM(H10:I10)</f>
        <v>494.69</v>
      </c>
      <c r="I13" s="12">
        <v>500</v>
      </c>
      <c r="J13" s="12">
        <f>Total_Revenue-Total_Costs</f>
        <v>110.35162243669839</v>
      </c>
    </row>
    <row r="16" spans="1:10" x14ac:dyDescent="0.45">
      <c r="H16" s="2" t="s">
        <v>69</v>
      </c>
      <c r="I16" s="3" t="s">
        <v>97</v>
      </c>
      <c r="J16" s="3" t="s">
        <v>98</v>
      </c>
    </row>
    <row r="17" spans="8:10" x14ac:dyDescent="0.45">
      <c r="H17" s="14" t="s">
        <v>78</v>
      </c>
      <c r="I17" s="4">
        <v>71</v>
      </c>
      <c r="J17" s="4">
        <v>29</v>
      </c>
    </row>
  </sheetData>
  <mergeCells count="1">
    <mergeCell ref="A1:J1"/>
  </mergeCells>
  <dataValidations count="15">
    <dataValidation type="whole" operator="greaterThanOrEqual" allowBlank="1" showInputMessage="1" showErrorMessage="1" errorTitle="ERROR" error="The value you've entered in not valid." promptTitle="Inventory - Couches" prompt="Enter the current inventory for couches" sqref="B3" xr:uid="{61B3AFD1-878E-4D6E-AA91-F39F6345D648}">
      <formula1>0</formula1>
    </dataValidation>
    <dataValidation type="whole" operator="greaterThanOrEqual" allowBlank="1" showInputMessage="1" showErrorMessage="1" errorTitle="ERROR" error="The value you've entered in not valid. " promptTitle="Inventory - Tables" prompt="Enter the current inventory for tables" sqref="B4" xr:uid="{DEDA6E13-4A70-4E74-B193-8D107EEBDEE7}">
      <formula1>0</formula1>
    </dataValidation>
    <dataValidation type="whole" operator="greaterThanOrEqual" allowBlank="1" showInputMessage="1" showErrorMessage="1" errorTitle="ERROR" error="The value you've entered in not valid." promptTitle="Inventory - Chairs" prompt="Enter the current inventory for chairs" sqref="B5" xr:uid="{7B429945-CDBA-48FD-92A5-7759EC028305}">
      <formula1>0</formula1>
    </dataValidation>
    <dataValidation type="whole" operator="greaterThanOrEqual" allowBlank="1" showInputMessage="1" showErrorMessage="1" errorTitle="ERROR" error="The value you've entered in not valid. " promptTitle="Demand - Couches" prompt="Enter the expected demand for couches" sqref="C3" xr:uid="{53654798-9599-4717-9287-886F64E24693}">
      <formula1>0</formula1>
    </dataValidation>
    <dataValidation type="whole" operator="greaterThanOrEqual" allowBlank="1" showInputMessage="1" showErrorMessage="1" errorTitle="ERROR" error="The value you've entered in not valid. " promptTitle="Demand - Tables" prompt="Enter the expected demand for tables" sqref="C4" xr:uid="{1ED2F948-7609-460A-B67C-8EBC9FC0B892}">
      <formula1>0</formula1>
    </dataValidation>
    <dataValidation type="whole" operator="greaterThanOrEqual" allowBlank="1" showInputMessage="1" showErrorMessage="1" errorTitle="ERROR" error="The value you've entered in not valid. " promptTitle="Demand - Chairs" prompt="Enter the expected demand for chairs" sqref="C5" xr:uid="{60FE8A05-7734-4A06-99FA-4C8B954929AE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Couches" prompt="Enter the order cost for couches" sqref="H3" xr:uid="{972F0D81-86EF-4281-B1EA-3AE5E0FA223C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Tables" prompt="Enter the order cost for tables" sqref="H4" xr:uid="{C0EA1EED-8262-45B7-B9FA-FAD8CB77D015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Chairs" prompt="Enter the order cost for chairs" sqref="H5" xr:uid="{93FFFD1B-D8B3-4210-852C-5F2E6D1DB264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Couches" prompt="Enter the lost sales cost for couches" sqref="I3" xr:uid="{3EE5A96E-DD70-4364-A2A7-8497ADCB0677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Tables" prompt="Enter the lost sales cost for tables" sqref="I4" xr:uid="{8D038670-4745-4058-B071-DA5B82482B37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Chairs" prompt="Enter the lost sales cost for chairs" sqref="I5" xr:uid="{549197BF-E1B6-40F8-8744-3E31A3E8F158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Couches" prompt="Enter the sales price for couches" sqref="J3" xr:uid="{BAB0B7E0-E056-46B7-90D8-A2E8236D28EF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Tables" prompt="Enter the sales price for tables" sqref="J4" xr:uid="{E889651B-6BD1-4B5A-A3BA-DE889FB3B615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Chairs" prompt="Enter the sales price for chairs" sqref="J5" xr:uid="{FC8F09CC-68ED-496B-910E-29B20C765B1B}">
      <formula1>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132D-DF28-408A-8AEA-9B7C85A8D180}">
  <sheetPr codeName="Sheet9"/>
  <dimension ref="A1:J17"/>
  <sheetViews>
    <sheetView zoomScale="119" zoomScaleNormal="90" workbookViewId="0">
      <selection activeCell="H24" sqref="H24"/>
    </sheetView>
  </sheetViews>
  <sheetFormatPr defaultColWidth="4" defaultRowHeight="14.25" x14ac:dyDescent="0.45"/>
  <cols>
    <col min="1" max="1" width="16.33203125" style="11" customWidth="1"/>
    <col min="2" max="2" width="17" style="11" bestFit="1" customWidth="1"/>
    <col min="3" max="3" width="17.33203125" style="11" bestFit="1" customWidth="1"/>
    <col min="4" max="4" width="14.6640625" style="11" bestFit="1" customWidth="1"/>
    <col min="5" max="5" width="18" style="11" bestFit="1" customWidth="1"/>
    <col min="6" max="6" width="11.46484375" style="11" bestFit="1" customWidth="1"/>
    <col min="7" max="8" width="19.6640625" style="11" bestFit="1" customWidth="1"/>
    <col min="9" max="9" width="24" style="11" bestFit="1" customWidth="1"/>
    <col min="10" max="10" width="13.796875" style="11" bestFit="1" customWidth="1"/>
    <col min="11" max="16384" width="4" style="11"/>
  </cols>
  <sheetData>
    <row r="1" spans="1:10" ht="41" customHeight="1" x14ac:dyDescent="0.9">
      <c r="A1" s="53" t="s">
        <v>103</v>
      </c>
      <c r="B1" s="54"/>
      <c r="C1" s="54"/>
      <c r="D1" s="54"/>
      <c r="E1" s="54"/>
      <c r="F1" s="54"/>
      <c r="G1" s="54"/>
      <c r="H1" s="54"/>
      <c r="I1" s="54"/>
      <c r="J1" s="54"/>
    </row>
    <row r="2" spans="1:10" ht="16.05" customHeight="1" x14ac:dyDescent="0.45">
      <c r="A2" s="2" t="s">
        <v>10</v>
      </c>
      <c r="B2" s="2" t="s">
        <v>83</v>
      </c>
      <c r="C2" s="2" t="s">
        <v>84</v>
      </c>
      <c r="D2" s="2" t="s">
        <v>85</v>
      </c>
      <c r="E2" s="2" t="s">
        <v>86</v>
      </c>
      <c r="F2" s="2" t="s">
        <v>87</v>
      </c>
      <c r="G2" s="2" t="s">
        <v>88</v>
      </c>
      <c r="H2" s="2" t="s">
        <v>89</v>
      </c>
      <c r="I2" s="2" t="s">
        <v>90</v>
      </c>
      <c r="J2" s="2" t="s">
        <v>91</v>
      </c>
    </row>
    <row r="3" spans="1:10" x14ac:dyDescent="0.45">
      <c r="A3" s="8" t="s">
        <v>41</v>
      </c>
      <c r="B3" s="13">
        <v>5</v>
      </c>
      <c r="C3" s="13">
        <v>22</v>
      </c>
      <c r="D3" s="5">
        <v>33</v>
      </c>
      <c r="E3" s="13">
        <f>Current_Inventory+Order_Quantity</f>
        <v>38</v>
      </c>
      <c r="F3" s="13">
        <f>MIN(_xlfn.SINGLE(Expected_Demand),_xlfn.SINGLE(Updated_Inventory))</f>
        <v>22</v>
      </c>
      <c r="G3" s="13">
        <f>Expected_Demand-Actual_Sales</f>
        <v>0</v>
      </c>
      <c r="H3" s="12">
        <v>7.31</v>
      </c>
      <c r="I3" s="12">
        <v>2.9233212050722779</v>
      </c>
      <c r="J3" s="12">
        <v>13.135279504855134</v>
      </c>
    </row>
    <row r="4" spans="1:10" x14ac:dyDescent="0.45">
      <c r="A4" s="8" t="s">
        <v>42</v>
      </c>
      <c r="B4" s="13">
        <v>9</v>
      </c>
      <c r="C4" s="13">
        <v>17</v>
      </c>
      <c r="D4" s="5">
        <v>38</v>
      </c>
      <c r="E4" s="13">
        <f>Current_Inventory+Order_Quantity</f>
        <v>47</v>
      </c>
      <c r="F4" s="13">
        <f>MIN(_xlfn.SINGLE(Expected_Demand),_xlfn.SINGLE(Updated_Inventory))</f>
        <v>17</v>
      </c>
      <c r="G4" s="13">
        <f>Expected_Demand-Actual_Sales</f>
        <v>0</v>
      </c>
      <c r="H4" s="12">
        <v>6.67</v>
      </c>
      <c r="I4" s="12">
        <v>3.3633533400544113</v>
      </c>
      <c r="J4" s="12">
        <v>12.765708637454392</v>
      </c>
    </row>
    <row r="5" spans="1:10" x14ac:dyDescent="0.45">
      <c r="A5" s="8" t="s">
        <v>43</v>
      </c>
      <c r="B5" s="13">
        <v>13</v>
      </c>
      <c r="C5" s="13">
        <v>10</v>
      </c>
      <c r="D5" s="5">
        <v>0</v>
      </c>
      <c r="E5" s="13">
        <f>Current_Inventory+Order_Quantity</f>
        <v>13</v>
      </c>
      <c r="F5" s="13">
        <f>MIN(_xlfn.SINGLE(Expected_Demand),_xlfn.SINGLE(Updated_Inventory))</f>
        <v>10</v>
      </c>
      <c r="G5" s="13">
        <f>Expected_Demand-Actual_Sales</f>
        <v>0</v>
      </c>
      <c r="H5" s="12">
        <v>5.84</v>
      </c>
      <c r="I5" s="12">
        <v>2.5269157815241625</v>
      </c>
      <c r="J5" s="12">
        <v>9.9048426493160715</v>
      </c>
    </row>
    <row r="9" spans="1:10" x14ac:dyDescent="0.45">
      <c r="H9" s="1" t="s">
        <v>94</v>
      </c>
      <c r="I9" s="1" t="s">
        <v>95</v>
      </c>
      <c r="J9" s="2" t="s">
        <v>96</v>
      </c>
    </row>
    <row r="10" spans="1:10" x14ac:dyDescent="0.45">
      <c r="H10" s="12">
        <f>SUMPRODUCT(H3:H5,D3:D5)</f>
        <v>494.69</v>
      </c>
      <c r="I10" s="12">
        <f>SUMPRODUCT(I3:I5,G3:G5)</f>
        <v>0</v>
      </c>
      <c r="J10" s="12">
        <f>SUMPRODUCT(J3:J5,F3:F5)</f>
        <v>605.04162243669839</v>
      </c>
    </row>
    <row r="12" spans="1:10" x14ac:dyDescent="0.45">
      <c r="H12" s="2" t="s">
        <v>76</v>
      </c>
      <c r="I12" s="1" t="s">
        <v>61</v>
      </c>
      <c r="J12" s="2" t="s">
        <v>77</v>
      </c>
    </row>
    <row r="13" spans="1:10" x14ac:dyDescent="0.45">
      <c r="H13" s="12">
        <f>SUM(H10:I10)</f>
        <v>494.69</v>
      </c>
      <c r="I13" s="12">
        <v>500</v>
      </c>
      <c r="J13" s="12">
        <f>Total_Revenue-Total_Costs</f>
        <v>110.35162243669839</v>
      </c>
    </row>
    <row r="16" spans="1:10" x14ac:dyDescent="0.45">
      <c r="H16" s="2" t="s">
        <v>69</v>
      </c>
      <c r="I16" s="3" t="s">
        <v>97</v>
      </c>
      <c r="J16" s="3" t="s">
        <v>98</v>
      </c>
    </row>
    <row r="17" spans="8:10" x14ac:dyDescent="0.45">
      <c r="H17" s="14" t="s">
        <v>78</v>
      </c>
      <c r="I17" s="4">
        <v>71</v>
      </c>
      <c r="J17" s="4">
        <v>29</v>
      </c>
    </row>
  </sheetData>
  <mergeCells count="1">
    <mergeCell ref="A1:J1"/>
  </mergeCells>
  <dataValidations count="15">
    <dataValidation type="decimal" operator="greaterThanOrEqual" allowBlank="1" showInputMessage="1" showErrorMessage="1" errorTitle="ERROR" error="The value you've entered in not valid. Please ensure you are entering the price as a decimal." promptTitle="Sales Price - Movies" prompt="Enter the sales price for movies" sqref="J3" xr:uid="{77BAF3DC-FE10-4A16-9751-8973E1FEDE59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Shows" prompt="Enter the sales price for shows" sqref="J4" xr:uid="{BAC637BC-16C6-4740-9E61-DEDB72A56F10}">
      <formula1>0</formula1>
    </dataValidation>
    <dataValidation type="decimal" operator="greaterThanOrEqual" allowBlank="1" showInputMessage="1" showErrorMessage="1" errorTitle="ERROR" error="The value you've entered in not valid. Please ensure you are entering the price as a decimal." promptTitle="Sales Price - Sports" prompt="Enter the sales price for sports" sqref="J5" xr:uid="{51BB0F04-F6BF-48B0-A822-26C0F84A45E2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Movies" prompt="Enter the lost sales cost for movies" sqref="I3" xr:uid="{CC9518E8-BF44-4C7D-A6E8-71F570A8C37D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Shows" prompt="Enter the lost sales cost for shows" sqref="I4" xr:uid="{664B9CA5-E68F-4035-BE23-997EB9933763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Lost Sales Cost - Sports" prompt="Enter the lost sales cost for sports" sqref="I5" xr:uid="{2890F630-0877-48C5-B29D-A13E3FF6BD51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Movies" prompt="Enter the order cost for movies" sqref="H3" xr:uid="{1D6EEEE4-A106-41EC-9DC0-F2C09D0A9C1F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Shows" prompt="Enter the order cost for shows" sqref="H4" xr:uid="{6A00AABB-5068-4A49-B947-DCDD2BB216BF}">
      <formula1>0</formula1>
    </dataValidation>
    <dataValidation type="decimal" operator="greaterThanOrEqual" allowBlank="1" showInputMessage="1" showErrorMessage="1" errorTitle="ERROR" error="The value you've entered in not valid. Please ensure you are entering the cost as a decimal." promptTitle="Order Cost - Sports" prompt="Enter the order cost for sports" sqref="H5" xr:uid="{79A09C7F-BA08-45D1-A223-F0B4001B23C4}">
      <formula1>0</formula1>
    </dataValidation>
    <dataValidation type="whole" operator="greaterThanOrEqual" allowBlank="1" showInputMessage="1" showErrorMessage="1" errorTitle="ERROR" error="The value you've entered in not valid. " promptTitle="Demand - Movies" prompt="Enter the expected demand for movies" sqref="C3" xr:uid="{B67F05E5-E396-4ADB-B16D-71524070BC65}">
      <formula1>0</formula1>
    </dataValidation>
    <dataValidation type="whole" operator="greaterThanOrEqual" allowBlank="1" showInputMessage="1" showErrorMessage="1" errorTitle="ERROR" error="The value you've entered in not valid. " promptTitle="Demand - Shows" prompt="Enter the expected demand for shows" sqref="C4" xr:uid="{8F7277F7-2C2D-4686-A387-A4E4B343A9EC}">
      <formula1>0</formula1>
    </dataValidation>
    <dataValidation type="whole" operator="greaterThanOrEqual" allowBlank="1" showInputMessage="1" showErrorMessage="1" errorTitle="ERROR" error="The value you've entered in not valid. " promptTitle="Demand - Sports" prompt="Enter the expected demand for sports" sqref="C5" xr:uid="{658470C2-FEFF-4CFC-80E6-932D54EBF82A}">
      <formula1>0</formula1>
    </dataValidation>
    <dataValidation type="whole" operator="greaterThanOrEqual" allowBlank="1" showInputMessage="1" showErrorMessage="1" errorTitle="ERROR" error="The value you've entered in not valid. " promptTitle="Inventory - Movies" prompt="Enter the current inventory for movies" sqref="B3" xr:uid="{D6AB5CBF-51FA-49E2-A961-AC8CCFA77230}">
      <formula1>0</formula1>
    </dataValidation>
    <dataValidation type="whole" operator="greaterThanOrEqual" allowBlank="1" showInputMessage="1" showErrorMessage="1" errorTitle="ERROR" error="The value you've entered in not valid. " promptTitle="Inventory - Shows" prompt="Enter the current inventory for shows" sqref="B4" xr:uid="{E1E38782-D842-42C6-A7FE-F95EDE741320}">
      <formula1>0</formula1>
    </dataValidation>
    <dataValidation type="whole" operator="greaterThanOrEqual" allowBlank="1" showInputMessage="1" showErrorMessage="1" errorTitle="ERROR" error="The value you've entered in not valid. " promptTitle="Inventory - Sports" prompt="Enter the current inventory for sports" sqref="B5" xr:uid="{C2091C33-D687-43DA-A862-644B60F0F402}">
      <formula1>0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111</vt:i4>
      </vt:variant>
    </vt:vector>
  </HeadingPairs>
  <TitlesOfParts>
    <vt:vector size="120" baseType="lpstr">
      <vt:lpstr>Welcome</vt:lpstr>
      <vt:lpstr>Hidden</vt:lpstr>
      <vt:lpstr>Investment</vt:lpstr>
      <vt:lpstr>Inventory</vt:lpstr>
      <vt:lpstr>Electronics</vt:lpstr>
      <vt:lpstr>Clothing</vt:lpstr>
      <vt:lpstr>Medical</vt:lpstr>
      <vt:lpstr>Furniture</vt:lpstr>
      <vt:lpstr>Media</vt:lpstr>
      <vt:lpstr>Clothing!Actual_Sales</vt:lpstr>
      <vt:lpstr>Electronics!Actual_Sales</vt:lpstr>
      <vt:lpstr>Furniture!Actual_Sales</vt:lpstr>
      <vt:lpstr>Media!Actual_Sales</vt:lpstr>
      <vt:lpstr>Medical!Actual_Sales</vt:lpstr>
      <vt:lpstr>Allocation</vt:lpstr>
      <vt:lpstr>Clothing!Available_Funds</vt:lpstr>
      <vt:lpstr>Electronics!Available_Funds</vt:lpstr>
      <vt:lpstr>Furniture!Available_Funds</vt:lpstr>
      <vt:lpstr>Media!Available_Funds</vt:lpstr>
      <vt:lpstr>Medical!Available_Funds</vt:lpstr>
      <vt:lpstr>Available_Funds</vt:lpstr>
      <vt:lpstr>AvailFund</vt:lpstr>
      <vt:lpstr>Clothing!Current_Inventory</vt:lpstr>
      <vt:lpstr>Electronics!Current_Inventory</vt:lpstr>
      <vt:lpstr>Furniture!Current_Inventory</vt:lpstr>
      <vt:lpstr>Media!Current_Inventory</vt:lpstr>
      <vt:lpstr>Medical!Current_Inventory</vt:lpstr>
      <vt:lpstr>Clothing!Expected_Demand</vt:lpstr>
      <vt:lpstr>Electronics!Expected_Demand</vt:lpstr>
      <vt:lpstr>Furniture!Expected_Demand</vt:lpstr>
      <vt:lpstr>Media!Expected_Demand</vt:lpstr>
      <vt:lpstr>Medical!Expected_Demand</vt:lpstr>
      <vt:lpstr>Expected_Returns</vt:lpstr>
      <vt:lpstr>Expected_Risk</vt:lpstr>
      <vt:lpstr>Clothing!Holding_Cost</vt:lpstr>
      <vt:lpstr>Electronics!Holding_Cost</vt:lpstr>
      <vt:lpstr>Furniture!Holding_Cost</vt:lpstr>
      <vt:lpstr>Media!Holding_Cost</vt:lpstr>
      <vt:lpstr>Medical!Holding_Cost</vt:lpstr>
      <vt:lpstr>Investment</vt:lpstr>
      <vt:lpstr>LogInInfo</vt:lpstr>
      <vt:lpstr>Clothing!Lost_Sales</vt:lpstr>
      <vt:lpstr>Electronics!Lost_Sales</vt:lpstr>
      <vt:lpstr>Furniture!Lost_Sales</vt:lpstr>
      <vt:lpstr>Media!Lost_Sales</vt:lpstr>
      <vt:lpstr>Medical!Lost_Sales</vt:lpstr>
      <vt:lpstr>Clothing!Lost_Sales_Cost</vt:lpstr>
      <vt:lpstr>Electronics!Lost_Sales_Cost</vt:lpstr>
      <vt:lpstr>Furniture!Lost_Sales_Cost</vt:lpstr>
      <vt:lpstr>Media!Lost_Sales_Cost</vt:lpstr>
      <vt:lpstr>Medical!Lost_Sales_Cost</vt:lpstr>
      <vt:lpstr>MaxAlloc</vt:lpstr>
      <vt:lpstr>MinAlloc</vt:lpstr>
      <vt:lpstr>MinSelect</vt:lpstr>
      <vt:lpstr>Clothing!Order_Cost</vt:lpstr>
      <vt:lpstr>Electronics!Order_Cost</vt:lpstr>
      <vt:lpstr>Furniture!Order_Cost</vt:lpstr>
      <vt:lpstr>Media!Order_Cost</vt:lpstr>
      <vt:lpstr>Medical!Order_Cost</vt:lpstr>
      <vt:lpstr>Clothing!Order_Quantity</vt:lpstr>
      <vt:lpstr>Electronics!Order_Quantity</vt:lpstr>
      <vt:lpstr>Furniture!Order_Quantity</vt:lpstr>
      <vt:lpstr>Media!Order_Quantity</vt:lpstr>
      <vt:lpstr>Medical!Order_Quantity</vt:lpstr>
      <vt:lpstr>Clothing!Remaining_Inventory</vt:lpstr>
      <vt:lpstr>Electronics!Remaining_Inventory</vt:lpstr>
      <vt:lpstr>Furniture!Remaining_Inventory</vt:lpstr>
      <vt:lpstr>Media!Remaining_Inventory</vt:lpstr>
      <vt:lpstr>Medical!Remaining_Inventory</vt:lpstr>
      <vt:lpstr>Return_Rate</vt:lpstr>
      <vt:lpstr>Risk_Rate</vt:lpstr>
      <vt:lpstr>Clothing!Sales_Price</vt:lpstr>
      <vt:lpstr>Electronics!Sales_Price</vt:lpstr>
      <vt:lpstr>Furniture!Sales_Price</vt:lpstr>
      <vt:lpstr>Media!Sales_Price</vt:lpstr>
      <vt:lpstr>Medical!Sales_Price</vt:lpstr>
      <vt:lpstr>Selected</vt:lpstr>
      <vt:lpstr>Clothing!Total_Costs</vt:lpstr>
      <vt:lpstr>Electronics!Total_Costs</vt:lpstr>
      <vt:lpstr>Furniture!Total_Costs</vt:lpstr>
      <vt:lpstr>Media!Total_Costs</vt:lpstr>
      <vt:lpstr>Medical!Total_Costs</vt:lpstr>
      <vt:lpstr>Total_Costs</vt:lpstr>
      <vt:lpstr>Clothing!Total_Holding</vt:lpstr>
      <vt:lpstr>Electronics!Total_Holding</vt:lpstr>
      <vt:lpstr>Furniture!Total_Holding</vt:lpstr>
      <vt:lpstr>Media!Total_Holding</vt:lpstr>
      <vt:lpstr>Medical!Total_Holding</vt:lpstr>
      <vt:lpstr>Total_Holding</vt:lpstr>
      <vt:lpstr>Clothing!Total_Lost_Sales</vt:lpstr>
      <vt:lpstr>Electronics!Total_Lost_Sales</vt:lpstr>
      <vt:lpstr>Furniture!Total_Lost_Sales</vt:lpstr>
      <vt:lpstr>Media!Total_Lost_Sales</vt:lpstr>
      <vt:lpstr>Medical!Total_Lost_Sales</vt:lpstr>
      <vt:lpstr>Total_Lost_Sales</vt:lpstr>
      <vt:lpstr>Clothing!Total_Order</vt:lpstr>
      <vt:lpstr>Electronics!Total_Order</vt:lpstr>
      <vt:lpstr>Furniture!Total_Order</vt:lpstr>
      <vt:lpstr>Media!Total_Order</vt:lpstr>
      <vt:lpstr>Medical!Total_Order</vt:lpstr>
      <vt:lpstr>Total_Order</vt:lpstr>
      <vt:lpstr>Clothing!Total_Profit</vt:lpstr>
      <vt:lpstr>Electronics!Total_Profit</vt:lpstr>
      <vt:lpstr>Furniture!Total_Profit</vt:lpstr>
      <vt:lpstr>Media!Total_Profit</vt:lpstr>
      <vt:lpstr>Medical!Total_Profit</vt:lpstr>
      <vt:lpstr>Total_Profit</vt:lpstr>
      <vt:lpstr>Clothing!Total_Revenue</vt:lpstr>
      <vt:lpstr>Electronics!Total_Revenue</vt:lpstr>
      <vt:lpstr>Furniture!Total_Revenue</vt:lpstr>
      <vt:lpstr>Media!Total_Revenue</vt:lpstr>
      <vt:lpstr>Medical!Total_Revenue</vt:lpstr>
      <vt:lpstr>Total_Revenue</vt:lpstr>
      <vt:lpstr>TotInvest</vt:lpstr>
      <vt:lpstr>TotSelect</vt:lpstr>
      <vt:lpstr>Clothing!Updated_Inventory</vt:lpstr>
      <vt:lpstr>Electronics!Updated_Inventory</vt:lpstr>
      <vt:lpstr>Furniture!Updated_Inventory</vt:lpstr>
      <vt:lpstr>Media!Updated_Inventory</vt:lpstr>
      <vt:lpstr>Medical!Updated_Inventory</vt:lpstr>
    </vt:vector>
  </TitlesOfParts>
  <Manager/>
  <Company>Pamplin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Michelle Seref</dc:creator>
  <cp:keywords/>
  <dc:description/>
  <cp:lastModifiedBy>Wilson, Liam</cp:lastModifiedBy>
  <cp:revision/>
  <dcterms:created xsi:type="dcterms:W3CDTF">2019-07-27T22:25:01Z</dcterms:created>
  <dcterms:modified xsi:type="dcterms:W3CDTF">2025-01-03T20:12:04Z</dcterms:modified>
  <cp:category/>
  <cp:contentStatus/>
</cp:coreProperties>
</file>